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83D915F3-7BDC-406E-A18B-20D1B56896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1" i="1" l="1"/>
  <c r="E51" i="1"/>
  <c r="D51" i="1"/>
  <c r="F41" i="1"/>
  <c r="E41" i="1"/>
  <c r="D41" i="1"/>
  <c r="F31" i="1" l="1"/>
  <c r="E31" i="1"/>
  <c r="D31" i="1"/>
  <c r="F21" i="1"/>
  <c r="E21" i="1"/>
  <c r="D21" i="1"/>
  <c r="F11" i="1"/>
  <c r="E11" i="1"/>
  <c r="D11" i="1"/>
</calcChain>
</file>

<file path=xl/sharedStrings.xml><?xml version="1.0" encoding="utf-8"?>
<sst xmlns="http://schemas.openxmlformats.org/spreadsheetml/2006/main" count="61" uniqueCount="21">
  <si>
    <t>باجة الشمالية</t>
  </si>
  <si>
    <t>باجة الجنوبية</t>
  </si>
  <si>
    <t>مجاز الباب</t>
  </si>
  <si>
    <t>قبلاط</t>
  </si>
  <si>
    <t>تستور</t>
  </si>
  <si>
    <t>تبرسق</t>
  </si>
  <si>
    <t>تيبار</t>
  </si>
  <si>
    <t>عمدون</t>
  </si>
  <si>
    <t>نفزة</t>
  </si>
  <si>
    <t>كامل الولاية</t>
  </si>
  <si>
    <t>Nombre de barques avec moteur</t>
  </si>
  <si>
    <t>Nombre de barques sans moteur</t>
  </si>
  <si>
    <t>Autres moyens de pêche</t>
  </si>
  <si>
    <t>Production (tonne)</t>
  </si>
  <si>
    <t>Année</t>
  </si>
  <si>
    <t>Délégation</t>
  </si>
  <si>
    <t>1 (بحيرة ب 35)</t>
  </si>
  <si>
    <t>16 المخشبية</t>
  </si>
  <si>
    <t>36 سد سيدي سالم</t>
  </si>
  <si>
    <t>1 سد كساب</t>
  </si>
  <si>
    <t>9 سد سيدي البراق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</si>
</sst>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Traditional Arabic"/>
      <family val="1"/>
    </font>
    <font>
      <sz val="16"/>
      <name val="Traditional Arabic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7" xfId="0" applyFont="1" applyBorder="1"/>
    <xf numFmtId="0" fontId="1" fillId="0" borderId="7" xfId="0" applyFont="1" applyBorder="1" applyAlignment="1">
      <alignment horizontal="center" vertical="center"/>
    </xf>
    <xf numFmtId="0" fontId="2" fillId="0" borderId="3" xfId="0" applyFont="1" applyBorder="1"/>
    <xf numFmtId="1" fontId="3" fillId="0" borderId="3" xfId="0" applyNumberFormat="1" applyFont="1" applyBorder="1" applyAlignment="1">
      <alignment horizontal="center" vertical="center" readingOrder="2"/>
    </xf>
    <xf numFmtId="1" fontId="3" fillId="0" borderId="6" xfId="0" applyNumberFormat="1" applyFont="1" applyBorder="1" applyAlignment="1">
      <alignment horizontal="center" vertical="center" readingOrder="2"/>
    </xf>
    <xf numFmtId="1" fontId="3" fillId="0" borderId="7" xfId="0" applyNumberFormat="1" applyFont="1" applyBorder="1" applyAlignment="1">
      <alignment horizontal="center" vertical="center" readingOrder="2"/>
    </xf>
    <xf numFmtId="1" fontId="3" fillId="0" borderId="8" xfId="0" applyNumberFormat="1" applyFont="1" applyBorder="1" applyAlignment="1">
      <alignment horizontal="center" vertical="center" readingOrder="2"/>
    </xf>
    <xf numFmtId="1" fontId="3" fillId="0" borderId="9" xfId="0" applyNumberFormat="1" applyFont="1" applyBorder="1" applyAlignment="1">
      <alignment horizontal="center" vertical="center" readingOrder="2"/>
    </xf>
    <xf numFmtId="1" fontId="3" fillId="0" borderId="10" xfId="0" applyNumberFormat="1" applyFont="1" applyBorder="1" applyAlignment="1">
      <alignment horizontal="center" vertical="center" readingOrder="2"/>
    </xf>
    <xf numFmtId="1" fontId="3" fillId="0" borderId="11" xfId="0" applyNumberFormat="1" applyFont="1" applyBorder="1" applyAlignment="1">
      <alignment horizontal="center" vertical="center" readingOrder="2"/>
    </xf>
    <xf numFmtId="1" fontId="3" fillId="0" borderId="12" xfId="0" applyNumberFormat="1" applyFont="1" applyBorder="1" applyAlignment="1">
      <alignment horizontal="center" vertical="center" readingOrder="2"/>
    </xf>
    <xf numFmtId="1" fontId="3" fillId="0" borderId="13" xfId="0" applyNumberFormat="1" applyFont="1" applyBorder="1" applyAlignment="1">
      <alignment horizontal="center" vertical="center" readingOrder="2"/>
    </xf>
    <xf numFmtId="0" fontId="2" fillId="2" borderId="7" xfId="0" applyFont="1" applyFill="1" applyBorder="1"/>
    <xf numFmtId="0" fontId="2" fillId="0" borderId="22" xfId="0" applyFont="1" applyFill="1" applyBorder="1"/>
    <xf numFmtId="164" fontId="3" fillId="0" borderId="9" xfId="0" applyNumberFormat="1" applyFont="1" applyBorder="1" applyAlignment="1">
      <alignment horizontal="center" vertical="center" readingOrder="2"/>
    </xf>
    <xf numFmtId="164" fontId="3" fillId="0" borderId="13" xfId="0" applyNumberFormat="1" applyFont="1" applyBorder="1" applyAlignment="1">
      <alignment horizontal="center" vertical="center" readingOrder="2"/>
    </xf>
    <xf numFmtId="0" fontId="4" fillId="0" borderId="7" xfId="0" applyFont="1" applyBorder="1"/>
    <xf numFmtId="0" fontId="3" fillId="0" borderId="18" xfId="0" applyFont="1" applyBorder="1" applyAlignment="1">
      <alignment vertical="center" readingOrder="2"/>
    </xf>
    <xf numFmtId="1" fontId="3" fillId="0" borderId="2" xfId="0" applyNumberFormat="1" applyFont="1" applyBorder="1" applyAlignment="1">
      <alignment horizontal="center" vertical="center" readingOrder="2"/>
    </xf>
    <xf numFmtId="1" fontId="3" fillId="0" borderId="4" xfId="0" applyNumberFormat="1" applyFont="1" applyBorder="1" applyAlignment="1">
      <alignment horizontal="center" vertical="center" readingOrder="2"/>
    </xf>
    <xf numFmtId="1" fontId="3" fillId="0" borderId="5" xfId="0" applyNumberFormat="1" applyFont="1" applyBorder="1" applyAlignment="1">
      <alignment horizontal="center" vertical="center" readingOrder="2"/>
    </xf>
    <xf numFmtId="0" fontId="3" fillId="0" borderId="16" xfId="0" applyFont="1" applyBorder="1" applyAlignment="1">
      <alignment vertical="center" readingOrder="2"/>
    </xf>
    <xf numFmtId="0" fontId="3" fillId="0" borderId="17" xfId="0" applyFont="1" applyBorder="1" applyAlignment="1">
      <alignment vertical="center" readingOrder="2"/>
    </xf>
    <xf numFmtId="0" fontId="3" fillId="2" borderId="1" xfId="0" applyFont="1" applyFill="1" applyBorder="1" applyAlignment="1">
      <alignment vertical="center" readingOrder="2"/>
    </xf>
    <xf numFmtId="1" fontId="3" fillId="2" borderId="14" xfId="0" applyNumberFormat="1" applyFont="1" applyFill="1" applyBorder="1" applyAlignment="1">
      <alignment horizontal="center" vertical="center" readingOrder="2"/>
    </xf>
    <xf numFmtId="1" fontId="3" fillId="2" borderId="15" xfId="0" applyNumberFormat="1" applyFont="1" applyFill="1" applyBorder="1" applyAlignment="1">
      <alignment horizontal="center" vertical="center" readingOrder="2"/>
    </xf>
    <xf numFmtId="2" fontId="3" fillId="0" borderId="5" xfId="0" applyNumberFormat="1" applyFont="1" applyBorder="1" applyAlignment="1">
      <alignment horizontal="center" vertical="center" readingOrder="2"/>
    </xf>
    <xf numFmtId="164" fontId="3" fillId="0" borderId="5" xfId="0" applyNumberFormat="1" applyFont="1" applyBorder="1" applyAlignment="1">
      <alignment horizontal="center" vertical="center" readingOrder="2"/>
    </xf>
    <xf numFmtId="1" fontId="3" fillId="0" borderId="14" xfId="0" applyNumberFormat="1" applyFont="1" applyBorder="1" applyAlignment="1">
      <alignment horizontal="center" vertical="center" readingOrder="2"/>
    </xf>
    <xf numFmtId="164" fontId="3" fillId="0" borderId="15" xfId="0" applyNumberFormat="1" applyFont="1" applyBorder="1" applyAlignment="1">
      <alignment horizontal="center" vertical="center" readingOrder="2"/>
    </xf>
    <xf numFmtId="0" fontId="1" fillId="0" borderId="15" xfId="0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 readingOrder="2"/>
    </xf>
    <xf numFmtId="0" fontId="3" fillId="0" borderId="7" xfId="0" applyFont="1" applyBorder="1" applyAlignment="1">
      <alignment vertical="center" readingOrder="2"/>
    </xf>
    <xf numFmtId="1" fontId="5" fillId="0" borderId="7" xfId="0" applyNumberFormat="1" applyFont="1" applyBorder="1" applyAlignment="1">
      <alignment horizontal="center" vertical="center" readingOrder="2"/>
    </xf>
    <xf numFmtId="164" fontId="5" fillId="0" borderId="7" xfId="0" applyNumberFormat="1" applyFont="1" applyBorder="1" applyAlignment="1">
      <alignment horizontal="center" vertical="center" readingOrder="2"/>
    </xf>
    <xf numFmtId="164" fontId="6" fillId="0" borderId="7" xfId="0" applyNumberFormat="1" applyFont="1" applyBorder="1" applyAlignment="1">
      <alignment horizontal="center" vertical="center" readingOrder="2"/>
    </xf>
    <xf numFmtId="0" fontId="2" fillId="0" borderId="11" xfId="0" applyFont="1" applyBorder="1"/>
    <xf numFmtId="0" fontId="2" fillId="2" borderId="23" xfId="0" applyFont="1" applyFill="1" applyBorder="1"/>
    <xf numFmtId="0" fontId="3" fillId="2" borderId="15" xfId="0" applyFont="1" applyFill="1" applyBorder="1" applyAlignment="1">
      <alignment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D21" sqref="D21"/>
    </sheetView>
  </sheetViews>
  <sheetFormatPr baseColWidth="10" defaultColWidth="9.140625" defaultRowHeight="15" x14ac:dyDescent="0.25"/>
  <cols>
    <col min="1" max="1" width="7.7109375" customWidth="1"/>
    <col min="2" max="2" width="16.28515625" customWidth="1"/>
    <col min="3" max="3" width="34.7109375" customWidth="1"/>
    <col min="4" max="4" width="35.28515625" customWidth="1"/>
    <col min="5" max="6" width="27.85546875" customWidth="1"/>
  </cols>
  <sheetData>
    <row r="1" spans="1:6" ht="24" customHeight="1" thickBot="1" x14ac:dyDescent="0.3">
      <c r="A1" s="20" t="s">
        <v>14</v>
      </c>
      <c r="B1" s="5" t="s">
        <v>15</v>
      </c>
      <c r="C1" s="1" t="s">
        <v>10</v>
      </c>
      <c r="D1" s="2" t="s">
        <v>11</v>
      </c>
      <c r="E1" s="3" t="s">
        <v>12</v>
      </c>
      <c r="F1" s="34" t="s">
        <v>13</v>
      </c>
    </row>
    <row r="2" spans="1:6" ht="18.75" customHeight="1" x14ac:dyDescent="0.25">
      <c r="A2" s="6">
        <v>2020</v>
      </c>
      <c r="B2" s="21" t="s">
        <v>0</v>
      </c>
      <c r="C2" s="22"/>
      <c r="D2" s="7"/>
      <c r="E2" s="23"/>
      <c r="F2" s="24">
        <v>0</v>
      </c>
    </row>
    <row r="3" spans="1:6" ht="15.75" x14ac:dyDescent="0.25">
      <c r="A3" s="4">
        <v>2020</v>
      </c>
      <c r="B3" s="25" t="s">
        <v>1</v>
      </c>
      <c r="C3" s="8"/>
      <c r="D3" s="9">
        <v>13</v>
      </c>
      <c r="E3" s="10"/>
      <c r="F3" s="11">
        <v>88</v>
      </c>
    </row>
    <row r="4" spans="1:6" ht="15.75" x14ac:dyDescent="0.25">
      <c r="A4" s="4">
        <v>2020</v>
      </c>
      <c r="B4" s="25" t="s">
        <v>2</v>
      </c>
      <c r="C4" s="8"/>
      <c r="D4" s="9"/>
      <c r="E4" s="10"/>
      <c r="F4" s="11"/>
    </row>
    <row r="5" spans="1:6" ht="15.75" x14ac:dyDescent="0.25">
      <c r="A5" s="4">
        <v>2020</v>
      </c>
      <c r="B5" s="25" t="s">
        <v>3</v>
      </c>
      <c r="C5" s="8"/>
      <c r="D5" s="9"/>
      <c r="E5" s="10"/>
      <c r="F5" s="11"/>
    </row>
    <row r="6" spans="1:6" ht="15.75" x14ac:dyDescent="0.25">
      <c r="A6" s="4">
        <v>2020</v>
      </c>
      <c r="B6" s="25" t="s">
        <v>4</v>
      </c>
      <c r="C6" s="8"/>
      <c r="D6" s="9">
        <v>54</v>
      </c>
      <c r="E6" s="10"/>
      <c r="F6" s="11">
        <v>593</v>
      </c>
    </row>
    <row r="7" spans="1:6" ht="15.75" x14ac:dyDescent="0.25">
      <c r="A7" s="4">
        <v>2020</v>
      </c>
      <c r="B7" s="25" t="s">
        <v>5</v>
      </c>
      <c r="C7" s="8"/>
      <c r="D7" s="9"/>
      <c r="E7" s="10"/>
      <c r="F7" s="11"/>
    </row>
    <row r="8" spans="1:6" ht="15.75" x14ac:dyDescent="0.25">
      <c r="A8" s="4">
        <v>2020</v>
      </c>
      <c r="B8" s="25" t="s">
        <v>6</v>
      </c>
      <c r="C8" s="8"/>
      <c r="D8" s="9"/>
      <c r="E8" s="10"/>
      <c r="F8" s="11"/>
    </row>
    <row r="9" spans="1:6" ht="15.75" x14ac:dyDescent="0.25">
      <c r="A9" s="4">
        <v>2020</v>
      </c>
      <c r="B9" s="25" t="s">
        <v>7</v>
      </c>
      <c r="C9" s="8"/>
      <c r="D9" s="9">
        <v>3</v>
      </c>
      <c r="E9" s="10"/>
      <c r="F9" s="11">
        <v>12</v>
      </c>
    </row>
    <row r="10" spans="1:6" ht="16.5" thickBot="1" x14ac:dyDescent="0.3">
      <c r="A10" s="4">
        <v>2020</v>
      </c>
      <c r="B10" s="26" t="s">
        <v>8</v>
      </c>
      <c r="C10" s="12"/>
      <c r="D10" s="13">
        <v>17</v>
      </c>
      <c r="E10" s="14"/>
      <c r="F10" s="15">
        <v>108</v>
      </c>
    </row>
    <row r="11" spans="1:6" ht="16.5" thickBot="1" x14ac:dyDescent="0.3">
      <c r="A11" s="16">
        <v>2020</v>
      </c>
      <c r="B11" s="27" t="s">
        <v>9</v>
      </c>
      <c r="C11" s="28"/>
      <c r="D11" s="28">
        <f t="shared" ref="D11:F11" si="0">SUM(D2:D10)</f>
        <v>87</v>
      </c>
      <c r="E11" s="28">
        <f t="shared" si="0"/>
        <v>0</v>
      </c>
      <c r="F11" s="29">
        <f t="shared" si="0"/>
        <v>801</v>
      </c>
    </row>
    <row r="12" spans="1:6" ht="15.75" x14ac:dyDescent="0.25">
      <c r="A12" s="4">
        <v>2021</v>
      </c>
      <c r="B12" s="25" t="s">
        <v>0</v>
      </c>
      <c r="C12" s="22"/>
      <c r="D12" s="7"/>
      <c r="E12" s="23"/>
      <c r="F12" s="24">
        <v>0</v>
      </c>
    </row>
    <row r="13" spans="1:6" ht="20.25" customHeight="1" x14ac:dyDescent="0.25">
      <c r="A13" s="4">
        <v>2021</v>
      </c>
      <c r="B13" s="25" t="s">
        <v>1</v>
      </c>
      <c r="C13" s="8"/>
      <c r="D13" s="9">
        <v>13</v>
      </c>
      <c r="E13" s="10"/>
      <c r="F13" s="11">
        <v>88</v>
      </c>
    </row>
    <row r="14" spans="1:6" ht="21" customHeight="1" x14ac:dyDescent="0.25">
      <c r="A14" s="4">
        <v>2021</v>
      </c>
      <c r="B14" s="25" t="s">
        <v>2</v>
      </c>
      <c r="C14" s="8"/>
      <c r="D14" s="9"/>
      <c r="E14" s="10"/>
      <c r="F14" s="11"/>
    </row>
    <row r="15" spans="1:6" ht="15.75" x14ac:dyDescent="0.25">
      <c r="A15" s="4">
        <v>2021</v>
      </c>
      <c r="B15" s="25" t="s">
        <v>3</v>
      </c>
      <c r="C15" s="8"/>
      <c r="D15" s="9"/>
      <c r="E15" s="10"/>
      <c r="F15" s="11"/>
    </row>
    <row r="16" spans="1:6" ht="15.75" x14ac:dyDescent="0.25">
      <c r="A16" s="4">
        <v>2021</v>
      </c>
      <c r="B16" s="25" t="s">
        <v>4</v>
      </c>
      <c r="C16" s="8"/>
      <c r="D16" s="9">
        <v>54</v>
      </c>
      <c r="E16" s="10"/>
      <c r="F16" s="11">
        <v>593</v>
      </c>
    </row>
    <row r="17" spans="1:6" ht="15.75" x14ac:dyDescent="0.25">
      <c r="A17" s="4">
        <v>2021</v>
      </c>
      <c r="B17" s="25" t="s">
        <v>5</v>
      </c>
      <c r="C17" s="8"/>
      <c r="D17" s="9"/>
      <c r="E17" s="10"/>
      <c r="F17" s="11"/>
    </row>
    <row r="18" spans="1:6" ht="15.75" x14ac:dyDescent="0.25">
      <c r="A18" s="4">
        <v>2021</v>
      </c>
      <c r="B18" s="25" t="s">
        <v>6</v>
      </c>
      <c r="C18" s="8"/>
      <c r="D18" s="9"/>
      <c r="E18" s="10"/>
      <c r="F18" s="11"/>
    </row>
    <row r="19" spans="1:6" ht="15.75" x14ac:dyDescent="0.25">
      <c r="A19" s="4">
        <v>2021</v>
      </c>
      <c r="B19" s="25" t="s">
        <v>7</v>
      </c>
      <c r="C19" s="8"/>
      <c r="D19" s="9">
        <v>3</v>
      </c>
      <c r="E19" s="10"/>
      <c r="F19" s="11">
        <v>12</v>
      </c>
    </row>
    <row r="20" spans="1:6" ht="16.5" thickBot="1" x14ac:dyDescent="0.3">
      <c r="A20" s="4">
        <v>2021</v>
      </c>
      <c r="B20" s="26" t="s">
        <v>8</v>
      </c>
      <c r="C20" s="12"/>
      <c r="D20" s="13">
        <v>17</v>
      </c>
      <c r="E20" s="14"/>
      <c r="F20" s="15">
        <v>108</v>
      </c>
    </row>
    <row r="21" spans="1:6" ht="16.5" thickBot="1" x14ac:dyDescent="0.3">
      <c r="A21" s="16">
        <v>2021</v>
      </c>
      <c r="B21" s="27" t="s">
        <v>9</v>
      </c>
      <c r="C21" s="28"/>
      <c r="D21" s="28">
        <f t="shared" ref="D21:F21" si="1">SUM(D12:D20)</f>
        <v>87</v>
      </c>
      <c r="E21" s="28">
        <f t="shared" si="1"/>
        <v>0</v>
      </c>
      <c r="F21" s="29">
        <f t="shared" si="1"/>
        <v>801</v>
      </c>
    </row>
    <row r="22" spans="1:6" ht="15.75" x14ac:dyDescent="0.25">
      <c r="A22" s="4">
        <v>2022</v>
      </c>
      <c r="B22" s="25" t="s">
        <v>0</v>
      </c>
      <c r="C22" s="22"/>
      <c r="D22" s="7"/>
      <c r="E22" s="23"/>
      <c r="F22" s="30">
        <v>0</v>
      </c>
    </row>
    <row r="23" spans="1:6" ht="15.75" x14ac:dyDescent="0.25">
      <c r="A23" s="4">
        <v>2022</v>
      </c>
      <c r="B23" s="25" t="s">
        <v>1</v>
      </c>
      <c r="C23" s="8"/>
      <c r="D23" s="9">
        <v>4</v>
      </c>
      <c r="E23" s="10"/>
      <c r="F23" s="11">
        <v>85</v>
      </c>
    </row>
    <row r="24" spans="1:6" ht="15.75" x14ac:dyDescent="0.25">
      <c r="A24" s="4">
        <v>2022</v>
      </c>
      <c r="B24" s="25" t="s">
        <v>2</v>
      </c>
      <c r="C24" s="8"/>
      <c r="D24" s="9"/>
      <c r="E24" s="10"/>
      <c r="F24" s="11"/>
    </row>
    <row r="25" spans="1:6" ht="15.75" x14ac:dyDescent="0.25">
      <c r="A25" s="4">
        <v>2022</v>
      </c>
      <c r="B25" s="25" t="s">
        <v>3</v>
      </c>
      <c r="C25" s="8"/>
      <c r="D25" s="9"/>
      <c r="E25" s="10"/>
      <c r="F25" s="11"/>
    </row>
    <row r="26" spans="1:6" ht="15.75" x14ac:dyDescent="0.25">
      <c r="A26" s="4">
        <v>2022</v>
      </c>
      <c r="B26" s="25" t="s">
        <v>4</v>
      </c>
      <c r="C26" s="8"/>
      <c r="D26" s="9">
        <v>58</v>
      </c>
      <c r="E26" s="10"/>
      <c r="F26" s="11">
        <v>542</v>
      </c>
    </row>
    <row r="27" spans="1:6" ht="15.75" x14ac:dyDescent="0.25">
      <c r="A27" s="4">
        <v>2022</v>
      </c>
      <c r="B27" s="25" t="s">
        <v>5</v>
      </c>
      <c r="C27" s="8"/>
      <c r="D27" s="9"/>
      <c r="E27" s="10"/>
      <c r="F27" s="11"/>
    </row>
    <row r="28" spans="1:6" ht="15.75" x14ac:dyDescent="0.25">
      <c r="A28" s="4">
        <v>2022</v>
      </c>
      <c r="B28" s="25" t="s">
        <v>6</v>
      </c>
      <c r="C28" s="8"/>
      <c r="D28" s="9"/>
      <c r="E28" s="10"/>
      <c r="F28" s="11"/>
    </row>
    <row r="29" spans="1:6" ht="15.75" x14ac:dyDescent="0.25">
      <c r="A29" s="4">
        <v>2022</v>
      </c>
      <c r="B29" s="25" t="s">
        <v>7</v>
      </c>
      <c r="C29" s="8"/>
      <c r="D29" s="9">
        <v>2</v>
      </c>
      <c r="E29" s="10"/>
      <c r="F29" s="11">
        <v>10</v>
      </c>
    </row>
    <row r="30" spans="1:6" ht="16.5" thickBot="1" x14ac:dyDescent="0.3">
      <c r="A30" s="40">
        <v>2022</v>
      </c>
      <c r="B30" s="26" t="s">
        <v>8</v>
      </c>
      <c r="C30" s="12"/>
      <c r="D30" s="13">
        <v>16</v>
      </c>
      <c r="E30" s="14"/>
      <c r="F30" s="15">
        <v>128</v>
      </c>
    </row>
    <row r="31" spans="1:6" ht="16.5" thickBot="1" x14ac:dyDescent="0.3">
      <c r="A31" s="41">
        <v>2022</v>
      </c>
      <c r="B31" s="27" t="s">
        <v>9</v>
      </c>
      <c r="C31" s="28"/>
      <c r="D31" s="28">
        <f t="shared" ref="D31:E31" si="2">SUM(D22:D30)</f>
        <v>80</v>
      </c>
      <c r="E31" s="28">
        <f t="shared" si="2"/>
        <v>0</v>
      </c>
      <c r="F31" s="29">
        <f>SUM(F23:F30)</f>
        <v>765</v>
      </c>
    </row>
    <row r="32" spans="1:6" ht="15.75" x14ac:dyDescent="0.25">
      <c r="A32" s="17">
        <v>2023</v>
      </c>
      <c r="B32" s="25" t="s">
        <v>0</v>
      </c>
      <c r="C32" s="22"/>
      <c r="D32" s="7"/>
      <c r="E32" s="23"/>
      <c r="F32" s="31">
        <v>0</v>
      </c>
    </row>
    <row r="33" spans="1:6" ht="15.75" x14ac:dyDescent="0.25">
      <c r="A33" s="4">
        <v>2023</v>
      </c>
      <c r="B33" s="25" t="s">
        <v>1</v>
      </c>
      <c r="C33" s="8"/>
      <c r="D33" s="9"/>
      <c r="E33" s="10"/>
      <c r="F33" s="18"/>
    </row>
    <row r="34" spans="1:6" ht="15.75" x14ac:dyDescent="0.25">
      <c r="A34" s="4">
        <v>2023</v>
      </c>
      <c r="B34" s="25" t="s">
        <v>2</v>
      </c>
      <c r="C34" s="8"/>
      <c r="D34" s="9"/>
      <c r="E34" s="10"/>
      <c r="F34" s="18"/>
    </row>
    <row r="35" spans="1:6" ht="15.75" x14ac:dyDescent="0.25">
      <c r="A35" s="4">
        <v>2023</v>
      </c>
      <c r="B35" s="25" t="s">
        <v>3</v>
      </c>
      <c r="C35" s="8"/>
      <c r="D35" s="9"/>
      <c r="E35" s="10"/>
      <c r="F35" s="18"/>
    </row>
    <row r="36" spans="1:6" ht="15.75" x14ac:dyDescent="0.25">
      <c r="A36" s="4">
        <v>2023</v>
      </c>
      <c r="B36" s="25" t="s">
        <v>4</v>
      </c>
      <c r="C36" s="8"/>
      <c r="D36" s="9"/>
      <c r="E36" s="10"/>
      <c r="F36" s="18">
        <v>380.2</v>
      </c>
    </row>
    <row r="37" spans="1:6" ht="15.75" x14ac:dyDescent="0.25">
      <c r="A37" s="4">
        <v>2023</v>
      </c>
      <c r="B37" s="25" t="s">
        <v>5</v>
      </c>
      <c r="C37" s="8"/>
      <c r="D37" s="9"/>
      <c r="E37" s="10"/>
      <c r="F37" s="18"/>
    </row>
    <row r="38" spans="1:6" ht="15.75" x14ac:dyDescent="0.25">
      <c r="A38" s="4">
        <v>2023</v>
      </c>
      <c r="B38" s="25" t="s">
        <v>6</v>
      </c>
      <c r="C38" s="8"/>
      <c r="D38" s="9"/>
      <c r="E38" s="10"/>
      <c r="F38" s="18"/>
    </row>
    <row r="39" spans="1:6" ht="15.75" x14ac:dyDescent="0.25">
      <c r="A39" s="4">
        <v>2023</v>
      </c>
      <c r="B39" s="25" t="s">
        <v>7</v>
      </c>
      <c r="C39" s="8"/>
      <c r="D39" s="9">
        <v>2</v>
      </c>
      <c r="E39" s="10"/>
      <c r="F39" s="18">
        <v>10</v>
      </c>
    </row>
    <row r="40" spans="1:6" ht="16.5" thickBot="1" x14ac:dyDescent="0.3">
      <c r="A40" s="4">
        <v>2023</v>
      </c>
      <c r="B40" s="26" t="s">
        <v>8</v>
      </c>
      <c r="C40" s="12"/>
      <c r="D40" s="13">
        <v>1</v>
      </c>
      <c r="E40" s="14"/>
      <c r="F40" s="19">
        <v>110.2</v>
      </c>
    </row>
    <row r="41" spans="1:6" ht="19.5" customHeight="1" thickBot="1" x14ac:dyDescent="0.3">
      <c r="A41" s="27">
        <v>2023</v>
      </c>
      <c r="B41" s="27" t="s">
        <v>9</v>
      </c>
      <c r="C41" s="32"/>
      <c r="D41" s="32">
        <f t="shared" ref="D41:E41" si="3">SUM(D32:D40)</f>
        <v>3</v>
      </c>
      <c r="E41" s="32">
        <f t="shared" si="3"/>
        <v>0</v>
      </c>
      <c r="F41" s="33">
        <f>SUM(F33:F40)</f>
        <v>500.4</v>
      </c>
    </row>
    <row r="42" spans="1:6" ht="18.75" customHeight="1" x14ac:dyDescent="0.25">
      <c r="A42" s="4">
        <v>2024</v>
      </c>
      <c r="B42" s="36" t="s">
        <v>0</v>
      </c>
      <c r="C42" s="37" t="s">
        <v>16</v>
      </c>
      <c r="D42" s="37"/>
      <c r="E42" s="37"/>
      <c r="F42" s="38">
        <v>3</v>
      </c>
    </row>
    <row r="43" spans="1:6" ht="18.75" customHeight="1" x14ac:dyDescent="0.25">
      <c r="A43" s="4">
        <v>2024</v>
      </c>
      <c r="B43" s="36" t="s">
        <v>1</v>
      </c>
      <c r="C43" s="35"/>
      <c r="D43" s="35" t="s">
        <v>17</v>
      </c>
      <c r="E43" s="35"/>
      <c r="F43" s="39"/>
    </row>
    <row r="44" spans="1:6" ht="18.75" customHeight="1" x14ac:dyDescent="0.25">
      <c r="A44" s="4">
        <v>2024</v>
      </c>
      <c r="B44" s="36" t="s">
        <v>2</v>
      </c>
      <c r="C44" s="35"/>
      <c r="D44" s="35"/>
      <c r="E44" s="35"/>
      <c r="F44" s="39"/>
    </row>
    <row r="45" spans="1:6" ht="18.75" customHeight="1" x14ac:dyDescent="0.25">
      <c r="A45" s="4">
        <v>2024</v>
      </c>
      <c r="B45" s="36" t="s">
        <v>3</v>
      </c>
      <c r="C45" s="35"/>
      <c r="D45" s="35"/>
      <c r="E45" s="35"/>
      <c r="F45" s="39"/>
    </row>
    <row r="46" spans="1:6" ht="18.75" customHeight="1" x14ac:dyDescent="0.25">
      <c r="A46" s="4">
        <v>2024</v>
      </c>
      <c r="B46" s="36" t="s">
        <v>4</v>
      </c>
      <c r="C46" s="35"/>
      <c r="D46" s="35" t="s">
        <v>18</v>
      </c>
      <c r="E46" s="35"/>
      <c r="F46" s="39">
        <v>61</v>
      </c>
    </row>
    <row r="47" spans="1:6" ht="18.75" customHeight="1" x14ac:dyDescent="0.25">
      <c r="A47" s="4">
        <v>2024</v>
      </c>
      <c r="B47" s="36" t="s">
        <v>5</v>
      </c>
      <c r="C47" s="35"/>
      <c r="D47" s="35"/>
      <c r="E47" s="35"/>
      <c r="F47" s="39"/>
    </row>
    <row r="48" spans="1:6" ht="18.75" customHeight="1" x14ac:dyDescent="0.25">
      <c r="A48" s="4">
        <v>2024</v>
      </c>
      <c r="B48" s="36" t="s">
        <v>6</v>
      </c>
      <c r="C48" s="35"/>
      <c r="D48" s="35"/>
      <c r="E48" s="35"/>
      <c r="F48" s="39"/>
    </row>
    <row r="49" spans="1:6" ht="18.75" customHeight="1" x14ac:dyDescent="0.25">
      <c r="A49" s="4">
        <v>2024</v>
      </c>
      <c r="B49" s="36" t="s">
        <v>7</v>
      </c>
      <c r="C49" s="35"/>
      <c r="D49" s="35" t="s">
        <v>19</v>
      </c>
      <c r="E49" s="35"/>
      <c r="F49" s="39">
        <v>6</v>
      </c>
    </row>
    <row r="50" spans="1:6" ht="18.75" customHeight="1" thickBot="1" x14ac:dyDescent="0.3">
      <c r="A50" s="4">
        <v>2024</v>
      </c>
      <c r="B50" s="36" t="s">
        <v>8</v>
      </c>
      <c r="C50" s="35"/>
      <c r="D50" s="35" t="s">
        <v>20</v>
      </c>
      <c r="E50" s="35"/>
      <c r="F50" s="39">
        <v>10</v>
      </c>
    </row>
    <row r="51" spans="1:6" ht="21" customHeight="1" thickBot="1" x14ac:dyDescent="0.3">
      <c r="A51" s="27">
        <v>2024</v>
      </c>
      <c r="B51" s="42" t="s">
        <v>9</v>
      </c>
      <c r="C51" s="42"/>
      <c r="D51" s="42">
        <f>16+36+1+9</f>
        <v>62</v>
      </c>
      <c r="E51" s="27">
        <f t="shared" ref="E51:F51" si="4">SUM(E42:E50)</f>
        <v>0</v>
      </c>
      <c r="F51" s="27">
        <f>SUM(F43:F50)</f>
        <v>77</v>
      </c>
    </row>
  </sheetData>
  <mergeCells count="1">
    <mergeCell ref="C42:E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2025-11-24T08:15:31Z</dcterms:modified>
</cp:coreProperties>
</file>