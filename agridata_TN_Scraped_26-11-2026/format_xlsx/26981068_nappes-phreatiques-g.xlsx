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15585" windowHeight="10755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39" i="1" l="1"/>
  <c r="F29" i="1"/>
  <c r="E39" i="1"/>
  <c r="E29" i="1"/>
  <c r="D39" i="1"/>
  <c r="D29" i="1"/>
</calcChain>
</file>

<file path=xl/sharedStrings.xml><?xml version="1.0" encoding="utf-8"?>
<sst xmlns="http://schemas.openxmlformats.org/spreadsheetml/2006/main" count="44" uniqueCount="16">
  <si>
    <t>المهدية قصور الساف</t>
  </si>
  <si>
    <t>الشابة الغضابنة</t>
  </si>
  <si>
    <t>ملولش</t>
  </si>
  <si>
    <t>الحنشة</t>
  </si>
  <si>
    <t>بومرداس</t>
  </si>
  <si>
    <t>السواسي</t>
  </si>
  <si>
    <t>سيدي الهاني</t>
  </si>
  <si>
    <t>الشريطة</t>
  </si>
  <si>
    <t>الغرة</t>
  </si>
  <si>
    <t>Annee</t>
  </si>
  <si>
    <t>Nom_nappe</t>
  </si>
  <si>
    <t>Code</t>
  </si>
  <si>
    <t xml:space="preserve"> Nbre_puits</t>
  </si>
  <si>
    <t>Ressources_(Mm3)</t>
  </si>
  <si>
    <t>Exploitation_(Mm3)</t>
  </si>
  <si>
    <t xml:space="preserve">المجموع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</si>
</sst>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 x14ac:knownFonts="1">
    <font>
      <sz val="11"/>
      <color theme="1"/>
      <name val="Calibri"/>
      <family val="2"/>
      <scheme val="minor"/>
    </font>
    <font>
      <b/>
      <sz val="14"/>
      <color theme="1"/>
      <name val="Arial Narrow"/>
      <family val="2"/>
    </font>
    <font>
      <sz val="12"/>
      <color theme="1"/>
      <name val="Arial Narrow"/>
      <family val="2"/>
    </font>
    <font>
      <sz val="14"/>
      <color theme="1"/>
      <name val="Arial Narrow"/>
      <family val="2"/>
    </font>
    <font>
      <b/>
      <sz val="14"/>
      <name val="Arial Narrow"/>
      <family val="2"/>
    </font>
    <font>
      <sz val="11"/>
      <name val="Calibri"/>
      <family val="2"/>
      <scheme val="minor"/>
    </font>
    <font>
      <sz val="12"/>
      <name val="Arial Narrow"/>
      <family val="2"/>
    </font>
    <font>
      <sz val="14"/>
      <name val="Arial Narrow"/>
      <family val="2"/>
    </font>
    <font>
      <b/>
      <sz val="12"/>
      <name val="Arial Narrow"/>
      <family val="2"/>
    </font>
    <font>
      <sz val="10"/>
      <color indexed="8"/>
      <name val="Arial"/>
      <family val="2"/>
    </font>
    <font>
      <b/>
      <sz val="12"/>
      <color rgb="FFFF0000"/>
      <name val="Calibri Light"/>
      <family val="1"/>
      <scheme val="major"/>
    </font>
    <font>
      <sz val="14"/>
      <name val="Calibri Light"/>
      <family val="1"/>
      <scheme val="major"/>
    </font>
    <font>
      <b/>
      <sz val="14"/>
      <color rgb="FFFF0000"/>
      <name val="Calibri Light"/>
      <family val="1"/>
      <scheme val="maj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92D050"/>
        <bgColor indexed="9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8"/>
      </top>
      <bottom style="dotted">
        <color indexed="8"/>
      </bottom>
      <diagonal/>
    </border>
    <border>
      <left style="thin">
        <color indexed="64"/>
      </left>
      <right style="thin">
        <color indexed="64"/>
      </right>
      <top style="dotted">
        <color indexed="8"/>
      </top>
      <bottom style="dotted">
        <color indexed="8"/>
      </bottom>
      <diagonal/>
    </border>
    <border>
      <left style="thin">
        <color indexed="64"/>
      </left>
      <right style="thin">
        <color indexed="64"/>
      </right>
      <top style="dotted">
        <color indexed="8"/>
      </top>
      <bottom style="thin">
        <color indexed="8"/>
      </bottom>
      <diagonal/>
    </border>
  </borders>
  <cellStyleXfs count="2">
    <xf numFmtId="0" fontId="0" fillId="0" borderId="0"/>
    <xf numFmtId="0" fontId="9" fillId="0" borderId="0" applyNumberFormat="0" applyFont="0" applyBorder="0" applyProtection="0"/>
  </cellStyleXfs>
  <cellXfs count="24">
    <xf numFmtId="0" fontId="0" fillId="0" borderId="0" xfId="0"/>
    <xf numFmtId="0" fontId="1" fillId="0" borderId="1" xfId="0" applyFont="1" applyBorder="1" applyAlignment="1">
      <alignment horizontal="right" vertical="center" wrapText="1" readingOrder="2"/>
    </xf>
    <xf numFmtId="0" fontId="2" fillId="2" borderId="1" xfId="0" applyFont="1" applyFill="1" applyBorder="1" applyAlignment="1">
      <alignment horizontal="center" vertical="center" wrapText="1" readingOrder="2"/>
    </xf>
    <xf numFmtId="0" fontId="3" fillId="2" borderId="1" xfId="0" applyFont="1" applyFill="1" applyBorder="1" applyAlignment="1">
      <alignment horizontal="center" vertical="center" wrapText="1" readingOrder="2"/>
    </xf>
    <xf numFmtId="0" fontId="3" fillId="2" borderId="2" xfId="0" applyFont="1" applyFill="1" applyBorder="1" applyAlignment="1">
      <alignment horizontal="center" vertical="center" wrapText="1" readingOrder="2"/>
    </xf>
    <xf numFmtId="0" fontId="4" fillId="2" borderId="1" xfId="0" applyFont="1" applyFill="1" applyBorder="1" applyAlignment="1">
      <alignment horizontal="right" vertical="center" wrapText="1" readingOrder="2"/>
    </xf>
    <xf numFmtId="0" fontId="6" fillId="2" borderId="1" xfId="0" applyFont="1" applyFill="1" applyBorder="1" applyAlignment="1">
      <alignment horizontal="center" vertical="center" wrapText="1" readingOrder="2"/>
    </xf>
    <xf numFmtId="0" fontId="7" fillId="2" borderId="1" xfId="0" applyFont="1" applyFill="1" applyBorder="1" applyAlignment="1">
      <alignment horizontal="center" vertical="center" wrapText="1" readingOrder="2"/>
    </xf>
    <xf numFmtId="0" fontId="5" fillId="2" borderId="1" xfId="0" applyFont="1" applyFill="1" applyBorder="1"/>
    <xf numFmtId="2" fontId="3" fillId="2" borderId="1" xfId="0" applyNumberFormat="1" applyFont="1" applyFill="1" applyBorder="1" applyAlignment="1">
      <alignment horizontal="center" vertical="center" wrapText="1" readingOrder="2"/>
    </xf>
    <xf numFmtId="0" fontId="8" fillId="2" borderId="1" xfId="0" applyFont="1" applyFill="1" applyBorder="1" applyAlignment="1">
      <alignment vertical="center" wrapText="1" readingOrder="2"/>
    </xf>
    <xf numFmtId="0" fontId="8" fillId="2" borderId="1" xfId="0" applyFont="1" applyFill="1" applyBorder="1" applyAlignment="1">
      <alignment horizontal="center" vertical="center" wrapText="1" readingOrder="2"/>
    </xf>
    <xf numFmtId="0" fontId="5" fillId="2" borderId="3" xfId="0" applyFont="1" applyFill="1" applyBorder="1"/>
    <xf numFmtId="0" fontId="10" fillId="3" borderId="4" xfId="1" applyFont="1" applyFill="1" applyBorder="1" applyAlignment="1">
      <alignment horizontal="right" vertical="center"/>
    </xf>
    <xf numFmtId="0" fontId="5" fillId="2" borderId="5" xfId="0" applyFont="1" applyFill="1" applyBorder="1"/>
    <xf numFmtId="3" fontId="11" fillId="4" borderId="6" xfId="0" applyNumberFormat="1" applyFont="1" applyFill="1" applyBorder="1" applyAlignment="1">
      <alignment horizontal="center" vertical="center" wrapText="1"/>
    </xf>
    <xf numFmtId="3" fontId="11" fillId="4" borderId="7" xfId="0" applyNumberFormat="1" applyFont="1" applyFill="1" applyBorder="1" applyAlignment="1">
      <alignment horizontal="center" vertical="center" wrapText="1"/>
    </xf>
    <xf numFmtId="3" fontId="11" fillId="4" borderId="8" xfId="0" applyNumberFormat="1" applyFont="1" applyFill="1" applyBorder="1" applyAlignment="1">
      <alignment horizontal="center" vertical="center" wrapText="1"/>
    </xf>
    <xf numFmtId="0" fontId="12" fillId="3" borderId="4" xfId="1" applyFont="1" applyFill="1" applyBorder="1" applyAlignment="1">
      <alignment horizontal="center" vertical="center"/>
    </xf>
    <xf numFmtId="2" fontId="11" fillId="0" borderId="6" xfId="0" applyNumberFormat="1" applyFont="1" applyBorder="1" applyAlignment="1">
      <alignment horizontal="center" vertical="center"/>
    </xf>
    <xf numFmtId="2" fontId="11" fillId="4" borderId="7" xfId="0" applyNumberFormat="1" applyFont="1" applyFill="1" applyBorder="1" applyAlignment="1">
      <alignment horizontal="center" vertical="center" wrapText="1"/>
    </xf>
    <xf numFmtId="2" fontId="11" fillId="0" borderId="8" xfId="0" applyNumberFormat="1" applyFont="1" applyBorder="1" applyAlignment="1">
      <alignment horizontal="center" vertical="center"/>
    </xf>
    <xf numFmtId="2" fontId="12" fillId="5" borderId="4" xfId="1" applyNumberFormat="1" applyFont="1" applyFill="1" applyBorder="1" applyAlignment="1">
      <alignment horizontal="center" vertical="center" wrapText="1"/>
    </xf>
    <xf numFmtId="2" fontId="11" fillId="0" borderId="7" xfId="0" applyNumberFormat="1" applyFont="1" applyBorder="1" applyAlignment="1">
      <alignment horizontal="center" vertical="center"/>
    </xf>
  </cellXfs>
  <cellStyles count="2">
    <cellStyle name="Excel Built-in Normal" xfId="1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9"/>
  <sheetViews>
    <sheetView tabSelected="1" workbookViewId="0">
      <selection activeCell="H29" sqref="H29"/>
    </sheetView>
  </sheetViews>
  <sheetFormatPr baseColWidth="10" defaultColWidth="9.140625" defaultRowHeight="15" x14ac:dyDescent="0.25"/>
  <cols>
    <col min="2" max="2" width="13.140625" customWidth="1"/>
    <col min="4" max="4" width="13.140625" customWidth="1"/>
    <col min="5" max="6" width="19.140625" customWidth="1"/>
  </cols>
  <sheetData>
    <row r="1" spans="1:6" ht="15.75" x14ac:dyDescent="0.25">
      <c r="A1" s="10" t="s">
        <v>9</v>
      </c>
      <c r="B1" s="10" t="s">
        <v>10</v>
      </c>
      <c r="C1" s="10" t="s">
        <v>11</v>
      </c>
      <c r="D1" s="11" t="s">
        <v>12</v>
      </c>
      <c r="E1" s="11" t="s">
        <v>13</v>
      </c>
      <c r="F1" s="11" t="s">
        <v>14</v>
      </c>
    </row>
    <row r="2" spans="1:6" ht="36" x14ac:dyDescent="0.25">
      <c r="A2">
        <v>2021</v>
      </c>
      <c r="B2" s="1" t="s">
        <v>0</v>
      </c>
      <c r="C2" s="2">
        <v>51230</v>
      </c>
      <c r="D2" s="3">
        <v>1535</v>
      </c>
      <c r="E2" s="4">
        <v>2.91</v>
      </c>
      <c r="F2" s="9">
        <v>5.8</v>
      </c>
    </row>
    <row r="3" spans="1:6" ht="36" x14ac:dyDescent="0.25">
      <c r="A3">
        <v>2021</v>
      </c>
      <c r="B3" s="1" t="s">
        <v>1</v>
      </c>
      <c r="C3" s="2">
        <v>51240</v>
      </c>
      <c r="D3" s="3">
        <v>687</v>
      </c>
      <c r="E3" s="3">
        <v>1.2</v>
      </c>
      <c r="F3" s="9">
        <v>1.9</v>
      </c>
    </row>
    <row r="4" spans="1:6" ht="18" x14ac:dyDescent="0.25">
      <c r="A4">
        <v>2021</v>
      </c>
      <c r="B4" s="1" t="s">
        <v>2</v>
      </c>
      <c r="C4" s="2">
        <v>51280</v>
      </c>
      <c r="D4" s="3">
        <v>340</v>
      </c>
      <c r="E4" s="3">
        <v>2.04</v>
      </c>
      <c r="F4" s="9">
        <v>1.54</v>
      </c>
    </row>
    <row r="5" spans="1:6" ht="18" x14ac:dyDescent="0.25">
      <c r="A5">
        <v>2021</v>
      </c>
      <c r="B5" s="1" t="s">
        <v>3</v>
      </c>
      <c r="C5" s="2">
        <v>51320</v>
      </c>
      <c r="D5" s="3">
        <v>218</v>
      </c>
      <c r="E5" s="3">
        <v>1.5</v>
      </c>
      <c r="F5" s="9">
        <v>0.47</v>
      </c>
    </row>
    <row r="6" spans="1:6" ht="18" x14ac:dyDescent="0.25">
      <c r="A6">
        <v>2021</v>
      </c>
      <c r="B6" s="1" t="s">
        <v>4</v>
      </c>
      <c r="C6" s="2">
        <v>64020</v>
      </c>
      <c r="D6" s="3">
        <v>330</v>
      </c>
      <c r="E6" s="3">
        <v>0.81</v>
      </c>
      <c r="F6" s="9">
        <v>0.83</v>
      </c>
    </row>
    <row r="7" spans="1:6" ht="18" x14ac:dyDescent="0.25">
      <c r="A7">
        <v>2021</v>
      </c>
      <c r="B7" s="1" t="s">
        <v>5</v>
      </c>
      <c r="C7" s="2">
        <v>64010</v>
      </c>
      <c r="D7" s="3">
        <v>1285</v>
      </c>
      <c r="E7" s="3">
        <v>2.37</v>
      </c>
      <c r="F7" s="9">
        <v>3.34</v>
      </c>
    </row>
    <row r="8" spans="1:6" ht="18" x14ac:dyDescent="0.25">
      <c r="A8">
        <v>2021</v>
      </c>
      <c r="B8" s="1" t="s">
        <v>6</v>
      </c>
      <c r="C8" s="2">
        <v>64000</v>
      </c>
      <c r="D8" s="3">
        <v>240</v>
      </c>
      <c r="E8" s="3">
        <v>1.85</v>
      </c>
      <c r="F8" s="9">
        <v>1.4</v>
      </c>
    </row>
    <row r="9" spans="1:6" ht="18" x14ac:dyDescent="0.25">
      <c r="A9">
        <v>2021</v>
      </c>
      <c r="B9" s="1" t="s">
        <v>7</v>
      </c>
      <c r="C9" s="2">
        <v>64030</v>
      </c>
      <c r="D9" s="3">
        <v>613</v>
      </c>
      <c r="E9" s="3">
        <v>2.9</v>
      </c>
      <c r="F9" s="9">
        <v>2.93</v>
      </c>
    </row>
    <row r="10" spans="1:6" ht="18" x14ac:dyDescent="0.25">
      <c r="A10">
        <v>2021</v>
      </c>
      <c r="B10" s="1" t="s">
        <v>8</v>
      </c>
      <c r="C10" s="2">
        <v>53110</v>
      </c>
      <c r="D10" s="3">
        <v>230</v>
      </c>
      <c r="E10" s="3">
        <v>1.4</v>
      </c>
      <c r="F10" s="9">
        <v>0.76</v>
      </c>
    </row>
    <row r="11" spans="1:6" ht="36" x14ac:dyDescent="0.25">
      <c r="A11" s="8">
        <v>2022</v>
      </c>
      <c r="B11" s="5" t="s">
        <v>0</v>
      </c>
      <c r="C11" s="6">
        <v>51230</v>
      </c>
      <c r="D11" s="7">
        <v>1570</v>
      </c>
      <c r="E11" s="7">
        <v>2.91</v>
      </c>
      <c r="F11" s="7">
        <v>5.89</v>
      </c>
    </row>
    <row r="12" spans="1:6" ht="36" x14ac:dyDescent="0.25">
      <c r="A12" s="8">
        <v>2022</v>
      </c>
      <c r="B12" s="5" t="s">
        <v>1</v>
      </c>
      <c r="C12" s="6">
        <v>51240</v>
      </c>
      <c r="D12" s="7">
        <v>703</v>
      </c>
      <c r="E12" s="7">
        <v>1.2</v>
      </c>
      <c r="F12" s="7">
        <v>1.94</v>
      </c>
    </row>
    <row r="13" spans="1:6" ht="18" x14ac:dyDescent="0.25">
      <c r="A13" s="8">
        <v>2022</v>
      </c>
      <c r="B13" s="5" t="s">
        <v>2</v>
      </c>
      <c r="C13" s="6">
        <v>51280</v>
      </c>
      <c r="D13" s="7">
        <v>348</v>
      </c>
      <c r="E13" s="7">
        <v>2.04</v>
      </c>
      <c r="F13" s="7">
        <v>1.56</v>
      </c>
    </row>
    <row r="14" spans="1:6" ht="18" x14ac:dyDescent="0.25">
      <c r="A14" s="8">
        <v>2022</v>
      </c>
      <c r="B14" s="5" t="s">
        <v>3</v>
      </c>
      <c r="C14" s="6">
        <v>51320</v>
      </c>
      <c r="D14" s="7">
        <v>222</v>
      </c>
      <c r="E14" s="7">
        <v>1.5</v>
      </c>
      <c r="F14" s="7">
        <v>0.48</v>
      </c>
    </row>
    <row r="15" spans="1:6" ht="18" x14ac:dyDescent="0.25">
      <c r="A15" s="8">
        <v>2022</v>
      </c>
      <c r="B15" s="5" t="s">
        <v>4</v>
      </c>
      <c r="C15" s="6">
        <v>64020</v>
      </c>
      <c r="D15" s="7">
        <v>340</v>
      </c>
      <c r="E15" s="7">
        <v>0.81</v>
      </c>
      <c r="F15" s="7">
        <v>0.86</v>
      </c>
    </row>
    <row r="16" spans="1:6" ht="18" x14ac:dyDescent="0.25">
      <c r="A16" s="8">
        <v>2022</v>
      </c>
      <c r="B16" s="5" t="s">
        <v>5</v>
      </c>
      <c r="C16" s="6">
        <v>64010</v>
      </c>
      <c r="D16" s="7">
        <v>1299</v>
      </c>
      <c r="E16" s="7">
        <v>2.37</v>
      </c>
      <c r="F16" s="7">
        <v>3.38</v>
      </c>
    </row>
    <row r="17" spans="1:6" ht="18" x14ac:dyDescent="0.25">
      <c r="A17" s="8">
        <v>2022</v>
      </c>
      <c r="B17" s="5" t="s">
        <v>6</v>
      </c>
      <c r="C17" s="6">
        <v>64000</v>
      </c>
      <c r="D17" s="7">
        <v>258</v>
      </c>
      <c r="E17" s="7">
        <v>1.85</v>
      </c>
      <c r="F17" s="7">
        <v>1.45</v>
      </c>
    </row>
    <row r="18" spans="1:6" ht="18" x14ac:dyDescent="0.25">
      <c r="A18" s="8">
        <v>2022</v>
      </c>
      <c r="B18" s="5" t="s">
        <v>7</v>
      </c>
      <c r="C18" s="6">
        <v>64030</v>
      </c>
      <c r="D18" s="7">
        <v>637</v>
      </c>
      <c r="E18" s="7">
        <v>2.9</v>
      </c>
      <c r="F18" s="7">
        <v>2.99</v>
      </c>
    </row>
    <row r="19" spans="1:6" ht="18" x14ac:dyDescent="0.25">
      <c r="A19" s="8">
        <v>2022</v>
      </c>
      <c r="B19" s="5" t="s">
        <v>8</v>
      </c>
      <c r="C19" s="6">
        <v>53110</v>
      </c>
      <c r="D19" s="7">
        <v>234</v>
      </c>
      <c r="E19" s="7">
        <v>1.4</v>
      </c>
      <c r="F19" s="7">
        <v>0.77</v>
      </c>
    </row>
    <row r="20" spans="1:6" ht="36" x14ac:dyDescent="0.25">
      <c r="A20" s="12">
        <v>2023</v>
      </c>
      <c r="B20" s="5" t="s">
        <v>0</v>
      </c>
      <c r="C20" s="6">
        <v>51230</v>
      </c>
      <c r="D20" s="15">
        <v>2245</v>
      </c>
      <c r="E20" s="19">
        <v>2.91</v>
      </c>
      <c r="F20" s="19">
        <v>5.94</v>
      </c>
    </row>
    <row r="21" spans="1:6" ht="36" x14ac:dyDescent="0.25">
      <c r="A21" s="12">
        <v>2023</v>
      </c>
      <c r="B21" s="5" t="s">
        <v>1</v>
      </c>
      <c r="C21" s="6">
        <v>51240</v>
      </c>
      <c r="D21" s="16">
        <v>2174</v>
      </c>
      <c r="E21" s="20">
        <v>1.2</v>
      </c>
      <c r="F21" s="23">
        <v>2.0099999999999998</v>
      </c>
    </row>
    <row r="22" spans="1:6" ht="18.75" x14ac:dyDescent="0.25">
      <c r="A22" s="12">
        <v>2023</v>
      </c>
      <c r="B22" s="5" t="s">
        <v>2</v>
      </c>
      <c r="C22" s="6">
        <v>51280</v>
      </c>
      <c r="D22" s="16">
        <v>757</v>
      </c>
      <c r="E22" s="20">
        <v>2.04</v>
      </c>
      <c r="F22" s="23">
        <v>1.72</v>
      </c>
    </row>
    <row r="23" spans="1:6" ht="18.75" x14ac:dyDescent="0.25">
      <c r="A23" s="12">
        <v>2023</v>
      </c>
      <c r="B23" s="5" t="s">
        <v>3</v>
      </c>
      <c r="C23" s="6">
        <v>51320</v>
      </c>
      <c r="D23" s="16">
        <v>407</v>
      </c>
      <c r="E23" s="20">
        <v>1.5</v>
      </c>
      <c r="F23" s="23">
        <v>0.52</v>
      </c>
    </row>
    <row r="24" spans="1:6" ht="18.75" x14ac:dyDescent="0.25">
      <c r="A24" s="12">
        <v>2023</v>
      </c>
      <c r="B24" s="5" t="s">
        <v>4</v>
      </c>
      <c r="C24" s="6">
        <v>64020</v>
      </c>
      <c r="D24" s="16">
        <v>541</v>
      </c>
      <c r="E24" s="20">
        <v>0.81</v>
      </c>
      <c r="F24" s="23">
        <v>0.89</v>
      </c>
    </row>
    <row r="25" spans="1:6" ht="18.75" x14ac:dyDescent="0.25">
      <c r="A25" s="12">
        <v>2023</v>
      </c>
      <c r="B25" s="5" t="s">
        <v>5</v>
      </c>
      <c r="C25" s="6">
        <v>64010</v>
      </c>
      <c r="D25" s="16">
        <v>1982</v>
      </c>
      <c r="E25" s="20">
        <v>2.37</v>
      </c>
      <c r="F25" s="23">
        <v>3.51</v>
      </c>
    </row>
    <row r="26" spans="1:6" ht="18.75" x14ac:dyDescent="0.25">
      <c r="A26" s="12">
        <v>2023</v>
      </c>
      <c r="B26" s="5" t="s">
        <v>6</v>
      </c>
      <c r="C26" s="6">
        <v>64000</v>
      </c>
      <c r="D26" s="16">
        <v>527</v>
      </c>
      <c r="E26" s="20">
        <v>1.85</v>
      </c>
      <c r="F26" s="23">
        <v>1.6</v>
      </c>
    </row>
    <row r="27" spans="1:6" ht="18.75" x14ac:dyDescent="0.25">
      <c r="A27" s="12">
        <v>2023</v>
      </c>
      <c r="B27" s="5" t="s">
        <v>7</v>
      </c>
      <c r="C27" s="6">
        <v>64030</v>
      </c>
      <c r="D27" s="16">
        <v>946</v>
      </c>
      <c r="E27" s="20">
        <v>2.9</v>
      </c>
      <c r="F27" s="23">
        <v>3.11</v>
      </c>
    </row>
    <row r="28" spans="1:6" ht="18.75" x14ac:dyDescent="0.25">
      <c r="A28" s="12">
        <v>2023</v>
      </c>
      <c r="B28" s="5" t="s">
        <v>8</v>
      </c>
      <c r="C28" s="6">
        <v>53110</v>
      </c>
      <c r="D28" s="17">
        <v>440</v>
      </c>
      <c r="E28" s="21">
        <v>1.4</v>
      </c>
      <c r="F28" s="21">
        <v>0.8</v>
      </c>
    </row>
    <row r="29" spans="1:6" ht="18.75" x14ac:dyDescent="0.25">
      <c r="A29" s="12">
        <v>2023</v>
      </c>
      <c r="B29" s="13" t="s">
        <v>15</v>
      </c>
      <c r="D29" s="18">
        <f t="shared" ref="D29" si="0">SUM(D20:D28)</f>
        <v>10019</v>
      </c>
      <c r="E29" s="22">
        <f t="shared" ref="E29" si="1">SUM(E20:E28)</f>
        <v>16.98</v>
      </c>
      <c r="F29" s="22">
        <f>SUM(F20:F28)</f>
        <v>20.100000000000001</v>
      </c>
    </row>
    <row r="30" spans="1:6" ht="36" x14ac:dyDescent="0.25">
      <c r="A30" s="14">
        <v>2024</v>
      </c>
      <c r="B30" s="5" t="s">
        <v>0</v>
      </c>
      <c r="C30" s="6">
        <v>51230</v>
      </c>
      <c r="D30" s="15">
        <v>2306</v>
      </c>
      <c r="E30" s="19">
        <v>2.91</v>
      </c>
      <c r="F30" s="19">
        <v>6.03</v>
      </c>
    </row>
    <row r="31" spans="1:6" ht="36" x14ac:dyDescent="0.25">
      <c r="A31" s="14">
        <v>2024</v>
      </c>
      <c r="B31" s="5" t="s">
        <v>1</v>
      </c>
      <c r="C31" s="6">
        <v>51240</v>
      </c>
      <c r="D31" s="16">
        <v>2134</v>
      </c>
      <c r="E31" s="20">
        <v>1.2</v>
      </c>
      <c r="F31" s="23">
        <v>2.0099999999999998</v>
      </c>
    </row>
    <row r="32" spans="1:6" ht="18.75" x14ac:dyDescent="0.25">
      <c r="A32" s="14">
        <v>2024</v>
      </c>
      <c r="B32" s="5" t="s">
        <v>2</v>
      </c>
      <c r="C32" s="6">
        <v>51280</v>
      </c>
      <c r="D32" s="16">
        <v>730</v>
      </c>
      <c r="E32" s="20">
        <v>2.04</v>
      </c>
      <c r="F32" s="23">
        <v>1.6</v>
      </c>
    </row>
    <row r="33" spans="1:6" ht="18.75" x14ac:dyDescent="0.25">
      <c r="A33" s="14">
        <v>2024</v>
      </c>
      <c r="B33" s="5" t="s">
        <v>3</v>
      </c>
      <c r="C33" s="6">
        <v>51320</v>
      </c>
      <c r="D33" s="16">
        <v>347</v>
      </c>
      <c r="E33" s="20">
        <v>1.5</v>
      </c>
      <c r="F33" s="23">
        <v>0.5</v>
      </c>
    </row>
    <row r="34" spans="1:6" ht="18.75" x14ac:dyDescent="0.25">
      <c r="A34" s="14">
        <v>2024</v>
      </c>
      <c r="B34" s="5" t="s">
        <v>4</v>
      </c>
      <c r="C34" s="6">
        <v>64020</v>
      </c>
      <c r="D34" s="16">
        <v>514</v>
      </c>
      <c r="E34" s="20">
        <v>0.81</v>
      </c>
      <c r="F34" s="23">
        <v>0.91</v>
      </c>
    </row>
    <row r="35" spans="1:6" ht="18.75" x14ac:dyDescent="0.25">
      <c r="A35" s="14">
        <v>2024</v>
      </c>
      <c r="B35" s="5" t="s">
        <v>5</v>
      </c>
      <c r="C35" s="6">
        <v>64010</v>
      </c>
      <c r="D35" s="16">
        <v>1933</v>
      </c>
      <c r="E35" s="20">
        <v>2.37</v>
      </c>
      <c r="F35" s="23">
        <v>3.45</v>
      </c>
    </row>
    <row r="36" spans="1:6" ht="18.75" x14ac:dyDescent="0.25">
      <c r="A36" s="14">
        <v>2024</v>
      </c>
      <c r="B36" s="5" t="s">
        <v>6</v>
      </c>
      <c r="C36" s="6">
        <v>64000</v>
      </c>
      <c r="D36" s="16">
        <v>510</v>
      </c>
      <c r="E36" s="20">
        <v>1.85</v>
      </c>
      <c r="F36" s="23">
        <v>1.54</v>
      </c>
    </row>
    <row r="37" spans="1:6" ht="18.75" x14ac:dyDescent="0.25">
      <c r="A37" s="14">
        <v>2024</v>
      </c>
      <c r="B37" s="5" t="s">
        <v>7</v>
      </c>
      <c r="C37" s="6">
        <v>64030</v>
      </c>
      <c r="D37" s="16">
        <v>934</v>
      </c>
      <c r="E37" s="20">
        <v>2.9</v>
      </c>
      <c r="F37" s="23">
        <v>3.1</v>
      </c>
    </row>
    <row r="38" spans="1:6" ht="18.75" x14ac:dyDescent="0.25">
      <c r="A38" s="14">
        <v>2024</v>
      </c>
      <c r="B38" s="5" t="s">
        <v>8</v>
      </c>
      <c r="C38" s="6">
        <v>53110</v>
      </c>
      <c r="D38" s="17">
        <v>422</v>
      </c>
      <c r="E38" s="21">
        <v>1.4</v>
      </c>
      <c r="F38" s="21">
        <v>0.79</v>
      </c>
    </row>
    <row r="39" spans="1:6" ht="18.75" x14ac:dyDescent="0.25">
      <c r="A39" s="14">
        <v>2024</v>
      </c>
      <c r="B39" s="13" t="s">
        <v>15</v>
      </c>
      <c r="D39" s="18">
        <f t="shared" ref="D39:E39" si="2">SUM(D30:D38)</f>
        <v>9830</v>
      </c>
      <c r="E39" s="22">
        <f t="shared" si="2"/>
        <v>16.98</v>
      </c>
      <c r="F39" s="22">
        <f>SUM(F30:F38)</f>
        <v>19.93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2025-08-12T10:43:08Z</dcterms:modified>
</cp:coreProperties>
</file>