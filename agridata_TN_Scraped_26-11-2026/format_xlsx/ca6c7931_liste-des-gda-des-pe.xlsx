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5" yWindow="15" windowWidth="11895" windowHeight="9705"/>
  </bookViews>
  <sheets>
    <sheet name="PPI" sheetId="3" r:id="rId1"/>
  </sheets>
  <definedNames>
    <definedName name="_xlnm._FilterDatabase" localSheetId="0" hidden="1">PPI!$A$1:$E$1206</definedName>
  </definedNames>
  <calcPr calcId="144525"/>
</workbook>
</file>

<file path=xl/calcChain.xml><?xml version="1.0" encoding="utf-8"?>
<calcChain xmlns="http://schemas.openxmlformats.org/spreadsheetml/2006/main">
  <c r="D76" i="3" l="1"/>
  <c r="D75" i="3"/>
  <c r="D74" i="3"/>
  <c r="E70" i="3"/>
  <c r="D70" i="3"/>
  <c r="D68" i="3"/>
  <c r="E766" i="3" l="1"/>
  <c r="E725" i="3"/>
  <c r="D725" i="3"/>
</calcChain>
</file>

<file path=xl/sharedStrings.xml><?xml version="1.0" encoding="utf-8"?>
<sst xmlns="http://schemas.openxmlformats.org/spreadsheetml/2006/main" count="3050" uniqueCount="1365">
  <si>
    <t>بورويس</t>
  </si>
  <si>
    <t>دور إسماعيل</t>
  </si>
  <si>
    <t>القصر</t>
  </si>
  <si>
    <t>الطرابلسية</t>
  </si>
  <si>
    <t>قبلاط</t>
  </si>
  <si>
    <t>سيدي ناجي</t>
  </si>
  <si>
    <t>عين يونس</t>
  </si>
  <si>
    <t>الإمتياز</t>
  </si>
  <si>
    <t>الرقي</t>
  </si>
  <si>
    <t>النمو</t>
  </si>
  <si>
    <t>الزعفران</t>
  </si>
  <si>
    <t>الطموح</t>
  </si>
  <si>
    <t>النهوض</t>
  </si>
  <si>
    <t>الوفاق</t>
  </si>
  <si>
    <t>الطويلة</t>
  </si>
  <si>
    <t>وشتاتة</t>
  </si>
  <si>
    <t>الصخيرة</t>
  </si>
  <si>
    <t>بن صندل</t>
  </si>
  <si>
    <t>الطبابة</t>
  </si>
  <si>
    <t>بوحزام</t>
  </si>
  <si>
    <t>النقاشية</t>
  </si>
  <si>
    <t>مسيلة</t>
  </si>
  <si>
    <t>أجنة دجبة</t>
  </si>
  <si>
    <t>الخنقات</t>
  </si>
  <si>
    <t>صباح المجالس</t>
  </si>
  <si>
    <t>ولجة دخان</t>
  </si>
  <si>
    <t>فدان السوق</t>
  </si>
  <si>
    <t>خلاد</t>
  </si>
  <si>
    <t>الصنوبر</t>
  </si>
  <si>
    <t>العيون الصافية</t>
  </si>
  <si>
    <t>القرشية</t>
  </si>
  <si>
    <t>بوتفاحة</t>
  </si>
  <si>
    <t>الجديدي</t>
  </si>
  <si>
    <t>باجة</t>
  </si>
  <si>
    <t>القنة</t>
  </si>
  <si>
    <t>عين الرقاد</t>
  </si>
  <si>
    <t>القصيبي</t>
  </si>
  <si>
    <t>بن عروس</t>
  </si>
  <si>
    <t xml:space="preserve">القنة </t>
  </si>
  <si>
    <t>قصرون</t>
  </si>
  <si>
    <t>المنطقة السفلى</t>
  </si>
  <si>
    <t>هـ - بن محمود</t>
  </si>
  <si>
    <t>"الأمل "دوار الحوش</t>
  </si>
  <si>
    <t>الرفاهة الخليدية</t>
  </si>
  <si>
    <t>" الخير" -  أوزرة</t>
  </si>
  <si>
    <t>"الأمل" -  الرسالة</t>
  </si>
  <si>
    <t>"الوفاق" -  أوزرة</t>
  </si>
  <si>
    <t>العالية</t>
  </si>
  <si>
    <t>رأس الجبل</t>
  </si>
  <si>
    <t>عوسجة</t>
  </si>
  <si>
    <t>طويبية</t>
  </si>
  <si>
    <t>طبياس</t>
  </si>
  <si>
    <t>الأمل</t>
  </si>
  <si>
    <t>ماطر</t>
  </si>
  <si>
    <t>البركة</t>
  </si>
  <si>
    <t>الإنطلاقة</t>
  </si>
  <si>
    <t>النجاح</t>
  </si>
  <si>
    <t>النزهة</t>
  </si>
  <si>
    <t>بنزرت</t>
  </si>
  <si>
    <t>المنارة</t>
  </si>
  <si>
    <t>الصوالحية</t>
  </si>
  <si>
    <t>جندوبة</t>
  </si>
  <si>
    <t>سيدي مرزوق</t>
  </si>
  <si>
    <t>وادي الزلازل</t>
  </si>
  <si>
    <t>تنبيب</t>
  </si>
  <si>
    <t>الجديدة</t>
  </si>
  <si>
    <t>الرابطة</t>
  </si>
  <si>
    <t>طنبار</t>
  </si>
  <si>
    <t>المنصورة</t>
  </si>
  <si>
    <t>ليماقس</t>
  </si>
  <si>
    <t>رضوان</t>
  </si>
  <si>
    <t>إبنس</t>
  </si>
  <si>
    <t>سعيدان</t>
  </si>
  <si>
    <t>تلمين المركز</t>
  </si>
  <si>
    <t>مزرع ناجي</t>
  </si>
  <si>
    <t>إستفطيمي</t>
  </si>
  <si>
    <t>القطعاية</t>
  </si>
  <si>
    <t>تيفوت</t>
  </si>
  <si>
    <t>البحاير</t>
  </si>
  <si>
    <t xml:space="preserve">لحزيم </t>
  </si>
  <si>
    <t>البيوت المحمية بام الفرث</t>
  </si>
  <si>
    <t>البيوت المحمية بليماقس</t>
  </si>
  <si>
    <t>الإمتياز بالجديدة المنصورة</t>
  </si>
  <si>
    <t>البيوت المحمية باستفطيمي</t>
  </si>
  <si>
    <t>تلمين الشرقية</t>
  </si>
  <si>
    <t>تلمين الغربية</t>
  </si>
  <si>
    <t>زقزاو</t>
  </si>
  <si>
    <t>المساعيد</t>
  </si>
  <si>
    <t>الكليبية</t>
  </si>
  <si>
    <t>الجرسين</t>
  </si>
  <si>
    <t>كلوامن</t>
  </si>
  <si>
    <t>الرحمات</t>
  </si>
  <si>
    <t>العتيلات</t>
  </si>
  <si>
    <t>المطورية</t>
  </si>
  <si>
    <t>البرغوثية</t>
  </si>
  <si>
    <t>سوق البياز</t>
  </si>
  <si>
    <t>البليدات</t>
  </si>
  <si>
    <t>بازمة</t>
  </si>
  <si>
    <t>المثابرة</t>
  </si>
  <si>
    <t>سيدي حامد</t>
  </si>
  <si>
    <t>بورزين</t>
  </si>
  <si>
    <t>جمنة</t>
  </si>
  <si>
    <t>بشلي</t>
  </si>
  <si>
    <t>قليادة</t>
  </si>
  <si>
    <t>غليسية القدارة</t>
  </si>
  <si>
    <t>سكاست</t>
  </si>
  <si>
    <t>البحري</t>
  </si>
  <si>
    <t>شط المساعيد</t>
  </si>
  <si>
    <t>الكعبي</t>
  </si>
  <si>
    <t>المساعيد 2</t>
  </si>
  <si>
    <t>الضمرانة</t>
  </si>
  <si>
    <t>السكومة</t>
  </si>
  <si>
    <t>القلعة</t>
  </si>
  <si>
    <t>الغولة</t>
  </si>
  <si>
    <t>قراد</t>
  </si>
  <si>
    <t>قصر غيلان</t>
  </si>
  <si>
    <t>دوز</t>
  </si>
  <si>
    <t>نويل</t>
  </si>
  <si>
    <t>عين التراس</t>
  </si>
  <si>
    <t>السميدة</t>
  </si>
  <si>
    <t>الطرفاية</t>
  </si>
  <si>
    <t>بوحمزة</t>
  </si>
  <si>
    <t>الحسي</t>
  </si>
  <si>
    <t>زعفران</t>
  </si>
  <si>
    <t>لازالة</t>
  </si>
  <si>
    <t>امل الحسي</t>
  </si>
  <si>
    <t>نقة</t>
  </si>
  <si>
    <t>زاوية الحرث الشمالية</t>
  </si>
  <si>
    <t>زاوية الحرث الجنوبية</t>
  </si>
  <si>
    <t>شوشة نقة</t>
  </si>
  <si>
    <t>فطناسة</t>
  </si>
  <si>
    <t>زاوية العانس</t>
  </si>
  <si>
    <t>أولاد التواتي</t>
  </si>
  <si>
    <t>أم الصمعة الشمالية</t>
  </si>
  <si>
    <t>زيرة الوحيشي</t>
  </si>
  <si>
    <t>الدبابشة</t>
  </si>
  <si>
    <t>أم قلام</t>
  </si>
  <si>
    <t>واد الجزيرة</t>
  </si>
  <si>
    <t>بوعبد الله الشرقية</t>
  </si>
  <si>
    <t>بوعبد الله الغربية</t>
  </si>
  <si>
    <t>الطباقة</t>
  </si>
  <si>
    <t>بشري</t>
  </si>
  <si>
    <t>أم الصمعة الجنوبية</t>
  </si>
  <si>
    <t>المنشية</t>
  </si>
  <si>
    <t>تنشيق</t>
  </si>
  <si>
    <t>القليعة</t>
  </si>
  <si>
    <t>البيوت المحمية بالبدبابشة 3</t>
  </si>
  <si>
    <t>البيوت المحمية الدبابشة 2</t>
  </si>
  <si>
    <t>البيوت المحمية بالدبابشة 1</t>
  </si>
  <si>
    <t>غيدمة</t>
  </si>
  <si>
    <t>الحداد</t>
  </si>
  <si>
    <t>بشني</t>
  </si>
  <si>
    <t>الدرجين</t>
  </si>
  <si>
    <t>طرفاية الماء</t>
  </si>
  <si>
    <t>الصابرية</t>
  </si>
  <si>
    <t>شارب الهميل</t>
  </si>
  <si>
    <t>الصابرية الشرقية 2</t>
  </si>
  <si>
    <t>المطروحة</t>
  </si>
  <si>
    <t>رجيم معتوق 1</t>
  </si>
  <si>
    <t>رجيم معتوق 2</t>
  </si>
  <si>
    <t>الوحدة الأولى النصر 1</t>
  </si>
  <si>
    <t>الوحدة الثانية النصر 1</t>
  </si>
  <si>
    <t>الوحدة الثالثة النصر 1</t>
  </si>
  <si>
    <t>الوحدة الرابعة النصر 1</t>
  </si>
  <si>
    <t>الوحدة الأولى الفردوس 1</t>
  </si>
  <si>
    <t>الوحدة الثانية الفردوس 1</t>
  </si>
  <si>
    <t>الوحدة الثالثة الفردوس 1</t>
  </si>
  <si>
    <t>الوحدة الرابعة الفردوس 1</t>
  </si>
  <si>
    <t>الوحدة الخامسة الفردوس 1</t>
  </si>
  <si>
    <t>الوحدة الأولى الفردوس 2</t>
  </si>
  <si>
    <t>الوحدة الثانية الفردوس 2</t>
  </si>
  <si>
    <t>الوحدة الثالثة الفردوس 2</t>
  </si>
  <si>
    <t>الوحدة الرابعة الفردوس 2</t>
  </si>
  <si>
    <t>الوحدة الخامسة الفردوس 2</t>
  </si>
  <si>
    <t>الوحدة الأولى أمل الرجيم 1</t>
  </si>
  <si>
    <t>الوحدة الثانية أمل الرجيم 1</t>
  </si>
  <si>
    <t>الوحدة الثالثة أمل الرجيم 1</t>
  </si>
  <si>
    <t>الوحدة الأولى أمل الرجيم 2</t>
  </si>
  <si>
    <t>الوحدة الثانية أمل الرجيم 2</t>
  </si>
  <si>
    <t>الوحدة الثالثة أمل الرجيم 2</t>
  </si>
  <si>
    <t>الوحدة الأولى السلام 1</t>
  </si>
  <si>
    <t>الوحدة الأولى السلام 2</t>
  </si>
  <si>
    <t>الوحدة الثانية  السلام 2</t>
  </si>
  <si>
    <t>الوحدة الرابعة السلام 2</t>
  </si>
  <si>
    <t>الوحدة الأولى النصر 2</t>
  </si>
  <si>
    <t>الوحدة الثانية النصر 2</t>
  </si>
  <si>
    <t>قبلي</t>
  </si>
  <si>
    <t>بو حامد</t>
  </si>
  <si>
    <t>بئر الجديد</t>
  </si>
  <si>
    <t>منوبة</t>
  </si>
  <si>
    <t>الأفق الجديد</t>
  </si>
  <si>
    <t>التوافق</t>
  </si>
  <si>
    <t>فلة</t>
  </si>
  <si>
    <t>النفيسة</t>
  </si>
  <si>
    <t>السعادة</t>
  </si>
  <si>
    <t>النرجس</t>
  </si>
  <si>
    <t>الفجة</t>
  </si>
  <si>
    <t>فنيي العامرة</t>
  </si>
  <si>
    <t>المستقبل</t>
  </si>
  <si>
    <t>الخير</t>
  </si>
  <si>
    <t>الازدهار</t>
  </si>
  <si>
    <t>بئر عوين</t>
  </si>
  <si>
    <t>العروسية</t>
  </si>
  <si>
    <t>الريان</t>
  </si>
  <si>
    <t>حدائق المهرين</t>
  </si>
  <si>
    <t>الورد</t>
  </si>
  <si>
    <t>طنقار</t>
  </si>
  <si>
    <t>الياسمين</t>
  </si>
  <si>
    <t>الثمرة</t>
  </si>
  <si>
    <t>بئر الحكيمي</t>
  </si>
  <si>
    <t>بني حسان</t>
  </si>
  <si>
    <t>سوسة</t>
  </si>
  <si>
    <t>توزر</t>
  </si>
  <si>
    <t>شمسة</t>
  </si>
  <si>
    <t>جهيم 1</t>
  </si>
  <si>
    <t>حهيم 2</t>
  </si>
  <si>
    <t>الحفير</t>
  </si>
  <si>
    <t>عباس</t>
  </si>
  <si>
    <t>الوسط</t>
  </si>
  <si>
    <t>الربط</t>
  </si>
  <si>
    <t>النفلايات</t>
  </si>
  <si>
    <t>واد الكوشة</t>
  </si>
  <si>
    <t>كستيليا</t>
  </si>
  <si>
    <t>حلبة الشرقية</t>
  </si>
  <si>
    <t>حلبة الغربية</t>
  </si>
  <si>
    <t>إبن الشباط 2</t>
  </si>
  <si>
    <t>إبن الشباط 3</t>
  </si>
  <si>
    <t>إبن الشباط بئر 15</t>
  </si>
  <si>
    <t>البيوت المكيفة</t>
  </si>
  <si>
    <t>المكمن أ ـ ب مراح الحوار</t>
  </si>
  <si>
    <t>المكمن س ـ د 1 مراح الحوار</t>
  </si>
  <si>
    <t>المكمن س ـ د 2 مراح الحوار</t>
  </si>
  <si>
    <t>المشتلة</t>
  </si>
  <si>
    <t>شباب جهيم 3</t>
  </si>
  <si>
    <t>النّفلايات 2</t>
  </si>
  <si>
    <t>المناشي</t>
  </si>
  <si>
    <t>عين التربة</t>
  </si>
  <si>
    <t>عين الربح</t>
  </si>
  <si>
    <t>زاوية العرب</t>
  </si>
  <si>
    <t>أولاد حميدة</t>
  </si>
  <si>
    <t>تزراريت</t>
  </si>
  <si>
    <t>دغومس</t>
  </si>
  <si>
    <t>بوهلال</t>
  </si>
  <si>
    <t>سبعة آبار</t>
  </si>
  <si>
    <t>المحاسن</t>
  </si>
  <si>
    <t>بوهلال دغومس</t>
  </si>
  <si>
    <t>واد الكبير</t>
  </si>
  <si>
    <t>تزراريت نخيل</t>
  </si>
  <si>
    <t>تزراريت بوهلال</t>
  </si>
  <si>
    <t>واد الكبير الإزدهار</t>
  </si>
  <si>
    <t>النملات</t>
  </si>
  <si>
    <t>محارب</t>
  </si>
  <si>
    <t>العرق</t>
  </si>
  <si>
    <t>العودية 1</t>
  </si>
  <si>
    <t>الحامة 1</t>
  </si>
  <si>
    <t>الحامة 1 مكرر</t>
  </si>
  <si>
    <t>الحامة 2</t>
  </si>
  <si>
    <t>زكرياء</t>
  </si>
  <si>
    <t>شاكمو</t>
  </si>
  <si>
    <t>بني علي</t>
  </si>
  <si>
    <t>رمادة</t>
  </si>
  <si>
    <t>الغرقاية</t>
  </si>
  <si>
    <t>رأس العين</t>
  </si>
  <si>
    <t>الذراع الجنوبي</t>
  </si>
  <si>
    <t>إبن الشباط 1</t>
  </si>
  <si>
    <t>إبن الشباط 1 الجهة الغربية</t>
  </si>
  <si>
    <t>الفرج</t>
  </si>
  <si>
    <t>الغواطين</t>
  </si>
  <si>
    <t>السيف الأخضر</t>
  </si>
  <si>
    <t>حزوة 1</t>
  </si>
  <si>
    <t>حزوة 2</t>
  </si>
  <si>
    <t>حزوة 3</t>
  </si>
  <si>
    <t>حزوة  1 ـ 2 ـ 3</t>
  </si>
  <si>
    <t>حزوة 4</t>
  </si>
  <si>
    <t>حزوة 5</t>
  </si>
  <si>
    <t>حزوة 6</t>
  </si>
  <si>
    <t>عين أولاد غريسي</t>
  </si>
  <si>
    <t>التعمير</t>
  </si>
  <si>
    <t>القاري الوسيط</t>
  </si>
  <si>
    <t>بئر الرومي 1</t>
  </si>
  <si>
    <t>المزارة 1</t>
  </si>
  <si>
    <t>بئر الرومي 2</t>
  </si>
  <si>
    <t>المزارة 2</t>
  </si>
  <si>
    <t>حزوة نخيل</t>
  </si>
  <si>
    <t>البيوديناميك</t>
  </si>
  <si>
    <t>هود بن عريان</t>
  </si>
  <si>
    <t>الرشاد</t>
  </si>
  <si>
    <t>تمغزة</t>
  </si>
  <si>
    <t>ميداس</t>
  </si>
  <si>
    <t>الظافرية</t>
  </si>
  <si>
    <t>العودية 2</t>
  </si>
  <si>
    <t>بن قشة</t>
  </si>
  <si>
    <t>فم الخنفة 2</t>
  </si>
  <si>
    <t>الشبيكة الواحة</t>
  </si>
  <si>
    <t>الفريد</t>
  </si>
  <si>
    <t>تونس</t>
  </si>
  <si>
    <t>المغيرة</t>
  </si>
  <si>
    <t>العياشية</t>
  </si>
  <si>
    <t>عين الزرس</t>
  </si>
  <si>
    <t>عين البطوم</t>
  </si>
  <si>
    <t>زغوان</t>
  </si>
  <si>
    <t>زواغة 1</t>
  </si>
  <si>
    <t>زواغة 2</t>
  </si>
  <si>
    <t>الناظور2</t>
  </si>
  <si>
    <t>الناظور3</t>
  </si>
  <si>
    <t>الناظور5</t>
  </si>
  <si>
    <t>المعيذر الشمالي</t>
  </si>
  <si>
    <t>المعيذر الجنوبي</t>
  </si>
  <si>
    <t>سيدي عبد القادر</t>
  </si>
  <si>
    <t>سوغاس</t>
  </si>
  <si>
    <t>نفات</t>
  </si>
  <si>
    <t>شعاليل الجنوبي</t>
  </si>
  <si>
    <t>الشباعنة1</t>
  </si>
  <si>
    <t>الشباعنة2</t>
  </si>
  <si>
    <t>الناظور 2 مكرر</t>
  </si>
  <si>
    <t>سيدي صالح</t>
  </si>
  <si>
    <t>الناظور بئر الشاوش</t>
  </si>
  <si>
    <t>الحناينية</t>
  </si>
  <si>
    <t>زواغة3</t>
  </si>
  <si>
    <t>زواغة 4</t>
  </si>
  <si>
    <t>زقيدان</t>
  </si>
  <si>
    <t>واد الطويل</t>
  </si>
  <si>
    <t>سيدي دغيم2</t>
  </si>
  <si>
    <t>سيدي فرجالله</t>
  </si>
  <si>
    <t>العصافرية</t>
  </si>
  <si>
    <t>سيدي الناوي</t>
  </si>
  <si>
    <t xml:space="preserve">سيدي هلال </t>
  </si>
  <si>
    <t>ذراع بن جودر</t>
  </si>
  <si>
    <t>بنت سعيدان</t>
  </si>
  <si>
    <t>أجنة زغوان</t>
  </si>
  <si>
    <t>مهيريس</t>
  </si>
  <si>
    <t xml:space="preserve">الزريبة </t>
  </si>
  <si>
    <t>بوعشير</t>
  </si>
  <si>
    <t>قصر العقلة</t>
  </si>
  <si>
    <t>بولبوز</t>
  </si>
  <si>
    <t>واد القلب</t>
  </si>
  <si>
    <t>هارون الريحان</t>
  </si>
  <si>
    <t>المنجرة</t>
  </si>
  <si>
    <t>زنقو</t>
  </si>
  <si>
    <t xml:space="preserve">عين المرة </t>
  </si>
  <si>
    <t>حوينيت البرج</t>
  </si>
  <si>
    <t>هوش قدم</t>
  </si>
  <si>
    <t>سد وادي الجرف</t>
  </si>
  <si>
    <t>سيدي مريح</t>
  </si>
  <si>
    <t>الخضيرات والنعايمية</t>
  </si>
  <si>
    <t>سيدي منصور</t>
  </si>
  <si>
    <t>أريانة</t>
  </si>
  <si>
    <t>الخليج</t>
  </si>
  <si>
    <t>التضامن</t>
  </si>
  <si>
    <t>القساسمية</t>
  </si>
  <si>
    <t>هنشير القلال</t>
  </si>
  <si>
    <t>السلاطنية</t>
  </si>
  <si>
    <t>الرميلة</t>
  </si>
  <si>
    <t>شاكر</t>
  </si>
  <si>
    <t>الجباس</t>
  </si>
  <si>
    <t>عين الحمادنة</t>
  </si>
  <si>
    <t>السماعلية</t>
  </si>
  <si>
    <t>فم الضفا</t>
  </si>
  <si>
    <t>عين الكحل</t>
  </si>
  <si>
    <t>القصرين</t>
  </si>
  <si>
    <t>الرخمات</t>
  </si>
  <si>
    <t>وادي الرمل</t>
  </si>
  <si>
    <t>عين سالم</t>
  </si>
  <si>
    <t>هنشير الحمام</t>
  </si>
  <si>
    <t>سيدي عمر</t>
  </si>
  <si>
    <t>العذيرة1</t>
  </si>
  <si>
    <t>هنشير الجمل</t>
  </si>
  <si>
    <t>فوسانة6</t>
  </si>
  <si>
    <t>المزيرعة1</t>
  </si>
  <si>
    <t>افران1</t>
  </si>
  <si>
    <t>افران4</t>
  </si>
  <si>
    <t>خمودة4</t>
  </si>
  <si>
    <t>القصارنية</t>
  </si>
  <si>
    <t>جدليان2</t>
  </si>
  <si>
    <t>جدليان4</t>
  </si>
  <si>
    <t>جدليان6</t>
  </si>
  <si>
    <t>سد جدليان</t>
  </si>
  <si>
    <t>جدليان1</t>
  </si>
  <si>
    <t>سد سيدي سعد</t>
  </si>
  <si>
    <t>الضفة اليمنى</t>
  </si>
  <si>
    <t>الضفة اليسرى</t>
  </si>
  <si>
    <t>الحاسي</t>
  </si>
  <si>
    <t>الخضراء</t>
  </si>
  <si>
    <t>العترة</t>
  </si>
  <si>
    <t>الكيس</t>
  </si>
  <si>
    <t>الفزدقية</t>
  </si>
  <si>
    <t>خربوق</t>
  </si>
  <si>
    <t>طم صميدة 1</t>
  </si>
  <si>
    <t>البراجة</t>
  </si>
  <si>
    <t>هنشير الطيب 2</t>
  </si>
  <si>
    <t>هنشير الخيمة</t>
  </si>
  <si>
    <t>قنزوع السواودة</t>
  </si>
  <si>
    <t>فيض مبارك</t>
  </si>
  <si>
    <t>ام الاقصاب</t>
  </si>
  <si>
    <t>المحروق</t>
  </si>
  <si>
    <t>اولاد مرزوق</t>
  </si>
  <si>
    <t>كدية موسى 1</t>
  </si>
  <si>
    <t>كدية موسى 2</t>
  </si>
  <si>
    <t>بو صفة 2</t>
  </si>
  <si>
    <t>عين نوبة 1</t>
  </si>
  <si>
    <t>عين نوبة 2</t>
  </si>
  <si>
    <t>س, حراث 3</t>
  </si>
  <si>
    <t>البرج</t>
  </si>
  <si>
    <t>المنفس</t>
  </si>
  <si>
    <t>المكيمن واد الصيد</t>
  </si>
  <si>
    <t>س, حراث 5</t>
  </si>
  <si>
    <t>وسنينت 1</t>
  </si>
  <si>
    <t>البشايرية</t>
  </si>
  <si>
    <t>الدغرة الهرية</t>
  </si>
  <si>
    <t>انفاض لحرمة</t>
  </si>
  <si>
    <t>الدغرة</t>
  </si>
  <si>
    <t>الشعابنية</t>
  </si>
  <si>
    <t>بو زقام</t>
  </si>
  <si>
    <t>هنشير الطويل</t>
  </si>
  <si>
    <t>العريش</t>
  </si>
  <si>
    <t>بولعابة</t>
  </si>
  <si>
    <t>العصيلة</t>
  </si>
  <si>
    <t>ماجة</t>
  </si>
  <si>
    <t>المزيرعة2</t>
  </si>
  <si>
    <t>الافراش</t>
  </si>
  <si>
    <t>بوكف</t>
  </si>
  <si>
    <t>سيدي حمودة</t>
  </si>
  <si>
    <t>بوعنز</t>
  </si>
  <si>
    <t>الكاف</t>
  </si>
  <si>
    <t>الإزدهار</t>
  </si>
  <si>
    <t>سيدي سعيد</t>
  </si>
  <si>
    <t>سيدي مبارك</t>
  </si>
  <si>
    <t>المرجى</t>
  </si>
  <si>
    <t>العرقوب</t>
  </si>
  <si>
    <t>أولاد ابراهيم</t>
  </si>
  <si>
    <t>الحمايزية</t>
  </si>
  <si>
    <t>الامتياز</t>
  </si>
  <si>
    <t>الخبابشة</t>
  </si>
  <si>
    <t>القفا</t>
  </si>
  <si>
    <t>الصلصالة</t>
  </si>
  <si>
    <t>الحوض 1</t>
  </si>
  <si>
    <t>منزل سالم</t>
  </si>
  <si>
    <t>فج علي بن سالم</t>
  </si>
  <si>
    <t>المحاصيص</t>
  </si>
  <si>
    <t>الغيث</t>
  </si>
  <si>
    <t>الحوض 5</t>
  </si>
  <si>
    <t>سيدي عبد الباسط 3</t>
  </si>
  <si>
    <t>الحميمة</t>
  </si>
  <si>
    <t>المدينة</t>
  </si>
  <si>
    <t>الصفاء</t>
  </si>
  <si>
    <t>النور</t>
  </si>
  <si>
    <t>الحرية</t>
  </si>
  <si>
    <t>المكارم</t>
  </si>
  <si>
    <t>الكرامة</t>
  </si>
  <si>
    <t>المهدية</t>
  </si>
  <si>
    <t>الرحمة</t>
  </si>
  <si>
    <t>بئر بن كاملة</t>
  </si>
  <si>
    <t>التآزر</t>
  </si>
  <si>
    <t>ترشقة</t>
  </si>
  <si>
    <t>الجنان</t>
  </si>
  <si>
    <t>الامل</t>
  </si>
  <si>
    <t>العيثة</t>
  </si>
  <si>
    <t>شمار</t>
  </si>
  <si>
    <t>قوناط</t>
  </si>
  <si>
    <t>زالبة 1</t>
  </si>
  <si>
    <t>زالبة 3</t>
  </si>
  <si>
    <t>واد باجة الجنوبية</t>
  </si>
  <si>
    <t>زردة</t>
  </si>
  <si>
    <t>واد باجة الشمالية</t>
  </si>
  <si>
    <t>الشياب</t>
  </si>
  <si>
    <t>الطواهرة</t>
  </si>
  <si>
    <t>الزغابنة</t>
  </si>
  <si>
    <t>الزعيرات</t>
  </si>
  <si>
    <t>الشهدة</t>
  </si>
  <si>
    <t>الإخلاص</t>
  </si>
  <si>
    <t>التوفيق</t>
  </si>
  <si>
    <t>أولاد الشامخ 6</t>
  </si>
  <si>
    <t>أولاد الشامخ 7</t>
  </si>
  <si>
    <t>المتجول</t>
  </si>
  <si>
    <t>السلاطنة</t>
  </si>
  <si>
    <t>الفوز</t>
  </si>
  <si>
    <t>وردة</t>
  </si>
  <si>
    <t>عمرة</t>
  </si>
  <si>
    <t>وادي الخيل</t>
  </si>
  <si>
    <t>القطار</t>
  </si>
  <si>
    <t>الشرف</t>
  </si>
  <si>
    <t>مدنين</t>
  </si>
  <si>
    <t>الحزمة 2</t>
  </si>
  <si>
    <t>الحزمة 4</t>
  </si>
  <si>
    <t>الحزمة 5</t>
  </si>
  <si>
    <t>لصيفر</t>
  </si>
  <si>
    <t>تماسنت</t>
  </si>
  <si>
    <t>البقباق</t>
  </si>
  <si>
    <t>ولجة الخضر</t>
  </si>
  <si>
    <t>تالبت</t>
  </si>
  <si>
    <t>مغزال</t>
  </si>
  <si>
    <t>حجر</t>
  </si>
  <si>
    <t>تبارقيت</t>
  </si>
  <si>
    <t>منزلة مقر</t>
  </si>
  <si>
    <t>غرداية</t>
  </si>
  <si>
    <t>بوعرقوب</t>
  </si>
  <si>
    <t>الخروبة</t>
  </si>
  <si>
    <t>منزل بوزلفة</t>
  </si>
  <si>
    <t>بني خلاد</t>
  </si>
  <si>
    <t>بوشراي</t>
  </si>
  <si>
    <t>سليمان</t>
  </si>
  <si>
    <t>تاكلسة</t>
  </si>
  <si>
    <t>نابل</t>
  </si>
  <si>
    <t>سوحيل</t>
  </si>
  <si>
    <t>دار الأمين</t>
  </si>
  <si>
    <t>المسعدي</t>
  </si>
  <si>
    <t>قرعة ساسي</t>
  </si>
  <si>
    <t>بني عيشون</t>
  </si>
  <si>
    <t>تازركة</t>
  </si>
  <si>
    <t>ديار الحجاج</t>
  </si>
  <si>
    <t>خراز</t>
  </si>
  <si>
    <t>لبنة سد</t>
  </si>
  <si>
    <t>لبنة قرية</t>
  </si>
  <si>
    <t>تافلون</t>
  </si>
  <si>
    <t>مزقيدة</t>
  </si>
  <si>
    <t>منزل عيسى</t>
  </si>
  <si>
    <t>الملاعبي</t>
  </si>
  <si>
    <t>أركان</t>
  </si>
  <si>
    <t>دار شيشو</t>
  </si>
  <si>
    <t xml:space="preserve">الكرمانية-بوكريم </t>
  </si>
  <si>
    <t>أبان</t>
  </si>
  <si>
    <t>الحجار</t>
  </si>
  <si>
    <t>تاوشت</t>
  </si>
  <si>
    <t>سد هميلة</t>
  </si>
  <si>
    <t>بئر الزيت</t>
  </si>
  <si>
    <t>سيدي عيسى</t>
  </si>
  <si>
    <t>فندق الجديد</t>
  </si>
  <si>
    <t>سماش</t>
  </si>
  <si>
    <t>تركي</t>
  </si>
  <si>
    <t>زاوية الجديدي</t>
  </si>
  <si>
    <t>القبة</t>
  </si>
  <si>
    <t>العهد الجديد</t>
  </si>
  <si>
    <t>نيانو</t>
  </si>
  <si>
    <t>سيدي الجديدي</t>
  </si>
  <si>
    <t>سيدي حمادة</t>
  </si>
  <si>
    <t>سيدي منصور القابل</t>
  </si>
  <si>
    <t>صدقة</t>
  </si>
  <si>
    <t>اولاد زينة</t>
  </si>
  <si>
    <t>وادي العرعار</t>
  </si>
  <si>
    <t>الحبابسة 2</t>
  </si>
  <si>
    <t>الجريصي</t>
  </si>
  <si>
    <t xml:space="preserve">الروحية8 </t>
  </si>
  <si>
    <t xml:space="preserve">    اولاد خضر</t>
  </si>
  <si>
    <t>السقيفة2</t>
  </si>
  <si>
    <t>عين زلال</t>
  </si>
  <si>
    <t>واد الظل</t>
  </si>
  <si>
    <t>السماتي</t>
  </si>
  <si>
    <t>فوار السنوسي</t>
  </si>
  <si>
    <t>الشراردية</t>
  </si>
  <si>
    <t>اولاد بلال</t>
  </si>
  <si>
    <t>بئر النخلة</t>
  </si>
  <si>
    <t>الحميمة2</t>
  </si>
  <si>
    <t>الدخيلة</t>
  </si>
  <si>
    <t>اولاد بن عمر</t>
  </si>
  <si>
    <t>السوالم</t>
  </si>
  <si>
    <t>برج المسعودي</t>
  </si>
  <si>
    <t>عين سليمان</t>
  </si>
  <si>
    <t>مزرق الشمس</t>
  </si>
  <si>
    <t>الرحاحلة</t>
  </si>
  <si>
    <t>عين زريق</t>
  </si>
  <si>
    <t>فوار الجبسة</t>
  </si>
  <si>
    <t>قعفور</t>
  </si>
  <si>
    <t>بوعرادة</t>
  </si>
  <si>
    <t>سليانة</t>
  </si>
  <si>
    <t>صفاقس</t>
  </si>
  <si>
    <t>الحنانشة</t>
  </si>
  <si>
    <t>الجروالة</t>
  </si>
  <si>
    <t>سيدي محمد</t>
  </si>
  <si>
    <t>بئر جابر</t>
  </si>
  <si>
    <t>الحوض</t>
  </si>
  <si>
    <t>المهارة 2</t>
  </si>
  <si>
    <t>بوطليلة</t>
  </si>
  <si>
    <t>الحنشة</t>
  </si>
  <si>
    <t>عيشون</t>
  </si>
  <si>
    <t>مديونة</t>
  </si>
  <si>
    <t>القرعة</t>
  </si>
  <si>
    <t>الهرية</t>
  </si>
  <si>
    <t>القيروان</t>
  </si>
  <si>
    <t>عين بومرة 1</t>
  </si>
  <si>
    <t>عين بومرة 2</t>
  </si>
  <si>
    <t>عين بومرة 3</t>
  </si>
  <si>
    <t>فضلون</t>
  </si>
  <si>
    <t>دار الجمعية</t>
  </si>
  <si>
    <t>سيسب 1</t>
  </si>
  <si>
    <t>سيدي سعد</t>
  </si>
  <si>
    <t>الهوارب 1</t>
  </si>
  <si>
    <t>الهوارب 2</t>
  </si>
  <si>
    <t>الهوارب 3</t>
  </si>
  <si>
    <t>الفجيج 2</t>
  </si>
  <si>
    <t>منزل المهيري</t>
  </si>
  <si>
    <t>الجلاصي</t>
  </si>
  <si>
    <t>الغزلة</t>
  </si>
  <si>
    <t>الصوايدية</t>
  </si>
  <si>
    <t>الخريوع 1</t>
  </si>
  <si>
    <t>الختم</t>
  </si>
  <si>
    <t>الشوايحية</t>
  </si>
  <si>
    <t>سرديانة الواد</t>
  </si>
  <si>
    <t>الزبارة 1</t>
  </si>
  <si>
    <t>طرزة</t>
  </si>
  <si>
    <t>خيط الواد</t>
  </si>
  <si>
    <t>العين البيضاء 2</t>
  </si>
  <si>
    <t>الحوفية الجنوبية</t>
  </si>
  <si>
    <t xml:space="preserve">العين البيضاء 3 </t>
  </si>
  <si>
    <t>الزبارة 2</t>
  </si>
  <si>
    <t>الحراملية</t>
  </si>
  <si>
    <t>خيط الوادي 2</t>
  </si>
  <si>
    <t>هندي العمري</t>
  </si>
  <si>
    <t>عرقوب المعزة</t>
  </si>
  <si>
    <t>بوخبزة</t>
  </si>
  <si>
    <t>بوخبزة 2</t>
  </si>
  <si>
    <t>الحاجب 9</t>
  </si>
  <si>
    <t>الحاجب 1</t>
  </si>
  <si>
    <t>الحاجب 2</t>
  </si>
  <si>
    <t>النقاقطة 1 و 2</t>
  </si>
  <si>
    <t>الغويبة السودة</t>
  </si>
  <si>
    <t>القنطرة المقود</t>
  </si>
  <si>
    <t>النقاقطة 3</t>
  </si>
  <si>
    <t>النقاقطة 4</t>
  </si>
  <si>
    <t>رحيمة اولاد الحاج</t>
  </si>
  <si>
    <t>الرحيمة 2</t>
  </si>
  <si>
    <t>المطار</t>
  </si>
  <si>
    <t>حدائق نصر الله</t>
  </si>
  <si>
    <t>الشيحة</t>
  </si>
  <si>
    <t>زعفرانة 5-6</t>
  </si>
  <si>
    <t>زعفرانة 2</t>
  </si>
  <si>
    <t>بوساري</t>
  </si>
  <si>
    <t>القطيطير أولاد عاشور</t>
  </si>
  <si>
    <t>دوار العضلة</t>
  </si>
  <si>
    <t>زعفرانة 3</t>
  </si>
  <si>
    <t>عقلة اللبية</t>
  </si>
  <si>
    <t>هنشير حفيظ</t>
  </si>
  <si>
    <t>القصور 1</t>
  </si>
  <si>
    <t>القصور 2</t>
  </si>
  <si>
    <t>سيدي علي بن سالم 1</t>
  </si>
  <si>
    <t>سيدي علي بن سالم 2</t>
  </si>
  <si>
    <t>هنشير بوعلي</t>
  </si>
  <si>
    <t>سيدي علي بن سالم 3</t>
  </si>
  <si>
    <t>المجايرة</t>
  </si>
  <si>
    <t>الشبيكة الغربية</t>
  </si>
  <si>
    <t>الشبيكة الشرقية</t>
  </si>
  <si>
    <t>الكرمة 2</t>
  </si>
  <si>
    <t>ذراع عفان</t>
  </si>
  <si>
    <t>المجاهدين</t>
  </si>
  <si>
    <t>هنشير الجفنة</t>
  </si>
  <si>
    <t>الجلايصية</t>
  </si>
  <si>
    <t>الاجيفر</t>
  </si>
  <si>
    <t xml:space="preserve">الملالسة </t>
  </si>
  <si>
    <t>الجبيسة</t>
  </si>
  <si>
    <t>العوجة</t>
  </si>
  <si>
    <t>النبش الشرقية</t>
  </si>
  <si>
    <t>الحمباز</t>
  </si>
  <si>
    <t>أولاد نهار</t>
  </si>
  <si>
    <t>عرقوب الرمث</t>
  </si>
  <si>
    <t>رقادة</t>
  </si>
  <si>
    <t>الكيلانــي</t>
  </si>
  <si>
    <t>وادي المقطع</t>
  </si>
  <si>
    <t xml:space="preserve">عين جلولة </t>
  </si>
  <si>
    <t>ذراع التمار</t>
  </si>
  <si>
    <t>قرعة البليدات 1</t>
  </si>
  <si>
    <t>بئر الحاج صادق</t>
  </si>
  <si>
    <t>نصرالله المركز</t>
  </si>
  <si>
    <t>فج الدزيري</t>
  </si>
  <si>
    <t>تبديت 6 ' الأمان 'واد الجمل</t>
  </si>
  <si>
    <t>تبديت عين الحمام</t>
  </si>
  <si>
    <t>سقدود 3 ' الإنطلاقة '</t>
  </si>
  <si>
    <t>سقدود 3 ' CT5'</t>
  </si>
  <si>
    <t xml:space="preserve">تبديت 5 ' واد الرماد' </t>
  </si>
  <si>
    <t>تبديت 4 ' واد الناقص'</t>
  </si>
  <si>
    <t>تبديت 02</t>
  </si>
  <si>
    <t>وادي النقاز</t>
  </si>
  <si>
    <t>ريشة النعام</t>
  </si>
  <si>
    <t>المزيرعة</t>
  </si>
  <si>
    <t>سقدود المتلوي</t>
  </si>
  <si>
    <t>وادي السهيلي</t>
  </si>
  <si>
    <t>واحة لالة</t>
  </si>
  <si>
    <t>الصمايرية</t>
  </si>
  <si>
    <t>مقسم السند</t>
  </si>
  <si>
    <t>قرعة السند</t>
  </si>
  <si>
    <t>ماجورة</t>
  </si>
  <si>
    <t>القوســـة</t>
  </si>
  <si>
    <t>بوشمال</t>
  </si>
  <si>
    <t>زانوش المحطة</t>
  </si>
  <si>
    <t>عبد الصادق</t>
  </si>
  <si>
    <t>باطن زانوش</t>
  </si>
  <si>
    <t>اللفاريت</t>
  </si>
  <si>
    <t>نشيو الشرقية</t>
  </si>
  <si>
    <t>واحة القطار</t>
  </si>
  <si>
    <t>السد 1</t>
  </si>
  <si>
    <t>السد 2</t>
  </si>
  <si>
    <t>ماجني</t>
  </si>
  <si>
    <t>النـازيـة</t>
  </si>
  <si>
    <t>الشنوفية 2</t>
  </si>
  <si>
    <t>عين أم العرائس</t>
  </si>
  <si>
    <t>مـزرق الشمـس</t>
  </si>
  <si>
    <t>أفضال 1</t>
  </si>
  <si>
    <t>أفضال 2</t>
  </si>
  <si>
    <t>بن عمار</t>
  </si>
  <si>
    <t>القرار</t>
  </si>
  <si>
    <t>اللوزة 1</t>
  </si>
  <si>
    <t>اللوزة 2</t>
  </si>
  <si>
    <t>أولاد منصور 1</t>
  </si>
  <si>
    <t>أولاد منصور 2</t>
  </si>
  <si>
    <t>أولاد عمر الرواشد</t>
  </si>
  <si>
    <t>منزل قمودي</t>
  </si>
  <si>
    <t>مقسم القرية</t>
  </si>
  <si>
    <t>السوينية</t>
  </si>
  <si>
    <t>زهرة العلندة</t>
  </si>
  <si>
    <t>واحة جنوب غربي قفصة</t>
  </si>
  <si>
    <t>اولاد زيد م,س</t>
  </si>
  <si>
    <t>الزعابطية</t>
  </si>
  <si>
    <t>قفصة</t>
  </si>
  <si>
    <t>قابس</t>
  </si>
  <si>
    <t>قابس الجنوبية</t>
  </si>
  <si>
    <t>غماقة</t>
  </si>
  <si>
    <t>ليماوة 1</t>
  </si>
  <si>
    <t>ليماوة 2</t>
  </si>
  <si>
    <t>ليماوة 3</t>
  </si>
  <si>
    <t>المدو</t>
  </si>
  <si>
    <t>شنتش</t>
  </si>
  <si>
    <t>تمولة 1</t>
  </si>
  <si>
    <t>تمولة 2</t>
  </si>
  <si>
    <t>زريق الدخلانية</t>
  </si>
  <si>
    <t>تبلبو الشرقية</t>
  </si>
  <si>
    <t>تبلبو الغربية</t>
  </si>
  <si>
    <t>الموازير</t>
  </si>
  <si>
    <t>ليماوة 5</t>
  </si>
  <si>
    <t>قابس الغربية</t>
  </si>
  <si>
    <t>قابس العليا</t>
  </si>
  <si>
    <t>شط الفريك</t>
  </si>
  <si>
    <t>بوشمة</t>
  </si>
  <si>
    <t>واد خليفة محمود</t>
  </si>
  <si>
    <t>الرماثي 1</t>
  </si>
  <si>
    <t>الرماثي 2</t>
  </si>
  <si>
    <t>الهباجي</t>
  </si>
  <si>
    <t>قابس المدينة</t>
  </si>
  <si>
    <t>قابس الوسطى</t>
  </si>
  <si>
    <t>قابس البحرية</t>
  </si>
  <si>
    <t>غنوش</t>
  </si>
  <si>
    <t>بئر محجوب</t>
  </si>
  <si>
    <t>بئر سالم</t>
  </si>
  <si>
    <t>بئر فيصل</t>
  </si>
  <si>
    <t>بئر السبوعي</t>
  </si>
  <si>
    <t>بئر المزيرع</t>
  </si>
  <si>
    <t>المطوية</t>
  </si>
  <si>
    <t>العوينات 1</t>
  </si>
  <si>
    <t>العوينات 2</t>
  </si>
  <si>
    <t>مزرع العين</t>
  </si>
  <si>
    <t>وذرف</t>
  </si>
  <si>
    <t>مطماطة الجديدة</t>
  </si>
  <si>
    <t>الأعراض 1</t>
  </si>
  <si>
    <t>الأعراض 3</t>
  </si>
  <si>
    <t>قروع اللطايفة</t>
  </si>
  <si>
    <t>هنشير جحة</t>
  </si>
  <si>
    <t>بني زلطن</t>
  </si>
  <si>
    <t>مطماطة 5</t>
  </si>
  <si>
    <t>الزراوة</t>
  </si>
  <si>
    <t>العيثة 1</t>
  </si>
  <si>
    <t>العيثة 2</t>
  </si>
  <si>
    <t>العيثة 3</t>
  </si>
  <si>
    <t>بني عيسى</t>
  </si>
  <si>
    <t>الحامة</t>
  </si>
  <si>
    <t>قليب الدخان</t>
  </si>
  <si>
    <t>واحة الحامة</t>
  </si>
  <si>
    <t>بشيمة 1</t>
  </si>
  <si>
    <t>بشيمة 2</t>
  </si>
  <si>
    <t>شانشو 1</t>
  </si>
  <si>
    <t>شانشو 2</t>
  </si>
  <si>
    <t>شانشو 3</t>
  </si>
  <si>
    <t>العداونة</t>
  </si>
  <si>
    <t>مزيرع الحامة</t>
  </si>
  <si>
    <t>التكوري</t>
  </si>
  <si>
    <t>وادي النخلة</t>
  </si>
  <si>
    <t>بن غيلوف</t>
  </si>
  <si>
    <t>جرودي</t>
  </si>
  <si>
    <t>أولاد عمارة</t>
  </si>
  <si>
    <t>الشارب</t>
  </si>
  <si>
    <t>باطن الشيحية</t>
  </si>
  <si>
    <t xml:space="preserve">الخبايات </t>
  </si>
  <si>
    <t>المقسم 1</t>
  </si>
  <si>
    <t>المقسم 2</t>
  </si>
  <si>
    <t>شانشو4</t>
  </si>
  <si>
    <t>شانشو 5</t>
  </si>
  <si>
    <t>القريعي</t>
  </si>
  <si>
    <t>واد الشركة</t>
  </si>
  <si>
    <t>واد النور</t>
  </si>
  <si>
    <t>مـارث</t>
  </si>
  <si>
    <t>الزركين 2</t>
  </si>
  <si>
    <t>الزركين 1و3</t>
  </si>
  <si>
    <t xml:space="preserve">عيون الزركين </t>
  </si>
  <si>
    <t>المادسية</t>
  </si>
  <si>
    <t>الشباب</t>
  </si>
  <si>
    <t>سيدي سلام</t>
  </si>
  <si>
    <t>كتانة 1</t>
  </si>
  <si>
    <t>كتانة 3</t>
  </si>
  <si>
    <t>كتانة 4</t>
  </si>
  <si>
    <t>زريق البرانية</t>
  </si>
  <si>
    <t>الغندري</t>
  </si>
  <si>
    <t>مارث 1</t>
  </si>
  <si>
    <t>مارث 2</t>
  </si>
  <si>
    <t>مارث 3</t>
  </si>
  <si>
    <t>مارث 5</t>
  </si>
  <si>
    <t>مارث 6</t>
  </si>
  <si>
    <t xml:space="preserve">سقي </t>
  </si>
  <si>
    <t>وادي الغيران</t>
  </si>
  <si>
    <t>الزارات 1</t>
  </si>
  <si>
    <t>الزارات2</t>
  </si>
  <si>
    <t>عرام</t>
  </si>
  <si>
    <t>الحني</t>
  </si>
  <si>
    <t>السقي 3</t>
  </si>
  <si>
    <t>السدرية</t>
  </si>
  <si>
    <t>واريفن</t>
  </si>
  <si>
    <t>مزرع بن سلامة</t>
  </si>
  <si>
    <t>زقابة</t>
  </si>
  <si>
    <t>مزرع يوسف</t>
  </si>
  <si>
    <t>شط العوامر</t>
  </si>
  <si>
    <t>منزل الحبيب</t>
  </si>
  <si>
    <t>واد زايد</t>
  </si>
  <si>
    <t>العوسج</t>
  </si>
  <si>
    <t>زقراطة</t>
  </si>
  <si>
    <t>سقدود 1</t>
  </si>
  <si>
    <t>سقدود 2</t>
  </si>
  <si>
    <t xml:space="preserve">سقدود </t>
  </si>
  <si>
    <t>سقدود المتلوي 2</t>
  </si>
  <si>
    <t xml:space="preserve">واحة القصر </t>
  </si>
  <si>
    <t>واحة القصبة</t>
  </si>
  <si>
    <t>سقدود 4</t>
  </si>
  <si>
    <t>سقدود 5</t>
  </si>
  <si>
    <t>القرية 1 مكرر</t>
  </si>
  <si>
    <t>تبديت 3 ' النور '- العبابسة</t>
  </si>
  <si>
    <t>السقي الخمايلية</t>
  </si>
  <si>
    <t>السقي القبلي</t>
  </si>
  <si>
    <t>الشطايبية</t>
  </si>
  <si>
    <t>تربنتة</t>
  </si>
  <si>
    <t>سيدي بوبكر</t>
  </si>
  <si>
    <t>بئر المنشر</t>
  </si>
  <si>
    <t>الكدية</t>
  </si>
  <si>
    <t>العزايز 04</t>
  </si>
  <si>
    <t>الـزنـايدية</t>
  </si>
  <si>
    <t>سيدي ناصر</t>
  </si>
  <si>
    <t>السلوة</t>
  </si>
  <si>
    <t>عين برج الحفي</t>
  </si>
  <si>
    <t>باطن أولاد منصور</t>
  </si>
  <si>
    <t>عين البياضة</t>
  </si>
  <si>
    <t>العيايشة السقي</t>
  </si>
  <si>
    <t>حوال الواد 2</t>
  </si>
  <si>
    <t>سيدي عيش المركز</t>
  </si>
  <si>
    <t xml:space="preserve">القرية 1 </t>
  </si>
  <si>
    <t>القرية 02</t>
  </si>
  <si>
    <t>العظلة الحمرة 02</t>
  </si>
  <si>
    <t>خد رابح</t>
  </si>
  <si>
    <t>متكيدس " النور "</t>
  </si>
  <si>
    <t>أولاد صالح</t>
  </si>
  <si>
    <t>الزيتونة-الشبيبة</t>
  </si>
  <si>
    <t>أولاد وهيبة الجبل (بالمحروقات)</t>
  </si>
  <si>
    <t>الخلايفية - العبايدية</t>
  </si>
  <si>
    <t>إحداث جديد</t>
  </si>
  <si>
    <t>العقيلة</t>
  </si>
  <si>
    <t>الدرينة</t>
  </si>
  <si>
    <t>بسيوف</t>
  </si>
  <si>
    <t>قصبة الجلالطة</t>
  </si>
  <si>
    <t>قصبة العجاردة</t>
  </si>
  <si>
    <t xml:space="preserve">القلعات </t>
  </si>
  <si>
    <t>بحير</t>
  </si>
  <si>
    <t>الفرش</t>
  </si>
  <si>
    <t>القرضاب</t>
  </si>
  <si>
    <t>مزار</t>
  </si>
  <si>
    <t>كحيل</t>
  </si>
  <si>
    <t>كرشاو</t>
  </si>
  <si>
    <t>أوني</t>
  </si>
  <si>
    <t>سهل الرومان</t>
  </si>
  <si>
    <t>بئر عمير</t>
  </si>
  <si>
    <t>نكريف</t>
  </si>
  <si>
    <t>كمبوت</t>
  </si>
  <si>
    <t>أولاد يحي1</t>
  </si>
  <si>
    <t>أولاد يحي2</t>
  </si>
  <si>
    <t>القرعاء</t>
  </si>
  <si>
    <t>البساتين</t>
  </si>
  <si>
    <t>قراقر</t>
  </si>
  <si>
    <t>تمزايط</t>
  </si>
  <si>
    <t>الروابي</t>
  </si>
  <si>
    <t>المقرن</t>
  </si>
  <si>
    <t>تطاوين</t>
  </si>
  <si>
    <t>الفجيج</t>
  </si>
  <si>
    <t>وادي موسى</t>
  </si>
  <si>
    <t>بنقردان</t>
  </si>
  <si>
    <t>سيدي مخلوف</t>
  </si>
  <si>
    <t>مدنين الجنوبية</t>
  </si>
  <si>
    <t>بني خداش</t>
  </si>
  <si>
    <t xml:space="preserve">مدنين الشمالية </t>
  </si>
  <si>
    <t>جربة</t>
  </si>
  <si>
    <t>سبيطلة</t>
  </si>
  <si>
    <t>سبيطلة ا</t>
  </si>
  <si>
    <t>اولاد بنومة</t>
  </si>
  <si>
    <t>الغرادق2</t>
  </si>
  <si>
    <t>الغرادق3</t>
  </si>
  <si>
    <t>اولاد حنيدر</t>
  </si>
  <si>
    <t>فيض المثنان2</t>
  </si>
  <si>
    <t>الشبان-الرياض</t>
  </si>
  <si>
    <t>الوساعية1</t>
  </si>
  <si>
    <t>فج الطفل2</t>
  </si>
  <si>
    <t>حاسي الفريد</t>
  </si>
  <si>
    <t>البيبات-الهشيم5</t>
  </si>
  <si>
    <t>قرعة غيلان</t>
  </si>
  <si>
    <t>الهشيم2</t>
  </si>
  <si>
    <t>ماجل بلعباس</t>
  </si>
  <si>
    <t>الهرية3</t>
  </si>
  <si>
    <t>العوابدية</t>
  </si>
  <si>
    <t>اولاد سعد</t>
  </si>
  <si>
    <t>الهرية2</t>
  </si>
  <si>
    <t>عقلة احمد</t>
  </si>
  <si>
    <t>فوسانة</t>
  </si>
  <si>
    <t>الفريخات اولاد مولاه</t>
  </si>
  <si>
    <t>بوغانم الفرضة</t>
  </si>
  <si>
    <t>فوسانة4-5</t>
  </si>
  <si>
    <t>فوسانة 11/15</t>
  </si>
  <si>
    <t>افران2/3</t>
  </si>
  <si>
    <t>اولاد موله</t>
  </si>
  <si>
    <t>فوسانة3</t>
  </si>
  <si>
    <t>العذيرة2</t>
  </si>
  <si>
    <t>بودرياس الركايبية</t>
  </si>
  <si>
    <t>جدليان</t>
  </si>
  <si>
    <t>سيدي علي البهلول</t>
  </si>
  <si>
    <t>تويشة1</t>
  </si>
  <si>
    <t>العيون</t>
  </si>
  <si>
    <t>تويشة2</t>
  </si>
  <si>
    <t>تويشة3</t>
  </si>
  <si>
    <t>عين سلسلة</t>
  </si>
  <si>
    <t>حيدرة</t>
  </si>
  <si>
    <t>فريانة</t>
  </si>
  <si>
    <t>قوبل2</t>
  </si>
  <si>
    <t>العلاونية</t>
  </si>
  <si>
    <t>فريانة7</t>
  </si>
  <si>
    <t>فريانة6</t>
  </si>
  <si>
    <t>فريانة8</t>
  </si>
  <si>
    <t>سبيبة</t>
  </si>
  <si>
    <t>عين الخمايسية</t>
  </si>
  <si>
    <t>سبيبة15-16</t>
  </si>
  <si>
    <t>سبيبة18</t>
  </si>
  <si>
    <t>سيدي عمر السماتي</t>
  </si>
  <si>
    <t>الفرايحية اولاد بوزيان</t>
  </si>
  <si>
    <t>المصابحية</t>
  </si>
  <si>
    <t>الوصايفية</t>
  </si>
  <si>
    <t>سيدي سهيل1</t>
  </si>
  <si>
    <t>تالة</t>
  </si>
  <si>
    <t>سيدي سهيل2</t>
  </si>
  <si>
    <t>عين هدية1</t>
  </si>
  <si>
    <t>عين هدية2</t>
  </si>
  <si>
    <t>بئر شعبان2</t>
  </si>
  <si>
    <t>القصرين الجنوبية</t>
  </si>
  <si>
    <t>البرج-الدغرة</t>
  </si>
  <si>
    <t>الدغرة-الزيتون</t>
  </si>
  <si>
    <t>سيدي حراث 1</t>
  </si>
  <si>
    <t>الطوالبية2</t>
  </si>
  <si>
    <t>القصرين الشمالية</t>
  </si>
  <si>
    <t>تاجروين</t>
  </si>
  <si>
    <t>SKD1</t>
  </si>
  <si>
    <t>SKD2</t>
  </si>
  <si>
    <t>SKD3</t>
  </si>
  <si>
    <t>SKD5</t>
  </si>
  <si>
    <t>SKD9</t>
  </si>
  <si>
    <t>SKD13</t>
  </si>
  <si>
    <t>SKD18</t>
  </si>
  <si>
    <t>سيدي عبد الباسط 1</t>
  </si>
  <si>
    <t>سيدي عبد الباسط 2</t>
  </si>
  <si>
    <t>جزة</t>
  </si>
  <si>
    <t>عين بابوش</t>
  </si>
  <si>
    <t>قلعة سنان</t>
  </si>
  <si>
    <t>الجريصة</t>
  </si>
  <si>
    <t>سيدي بو علي</t>
  </si>
  <si>
    <t>أكودة</t>
  </si>
  <si>
    <t>القلعة الكبرى</t>
  </si>
  <si>
    <t>النفيضة</t>
  </si>
  <si>
    <t>بوفيشة</t>
  </si>
  <si>
    <t>كنـــدار</t>
  </si>
  <si>
    <t xml:space="preserve">      زاوية سوسة القصيبة و الثريات</t>
  </si>
  <si>
    <t>مساكن</t>
  </si>
  <si>
    <t>سيدي الهاني</t>
  </si>
  <si>
    <t>شط مريم</t>
  </si>
  <si>
    <t>شط الرمان</t>
  </si>
  <si>
    <t>بلعوم</t>
  </si>
  <si>
    <t xml:space="preserve">أهل جميع </t>
  </si>
  <si>
    <t>أهل جميع 2</t>
  </si>
  <si>
    <t xml:space="preserve"> بلعوم 4</t>
  </si>
  <si>
    <t xml:space="preserve"> واد موسى</t>
  </si>
  <si>
    <t>قريميط 2</t>
  </si>
  <si>
    <t>أولاد تليل</t>
  </si>
  <si>
    <t xml:space="preserve"> قريميط 4  </t>
  </si>
  <si>
    <t>الرميل 3-2</t>
  </si>
  <si>
    <t>العيايشة</t>
  </si>
  <si>
    <t xml:space="preserve"> البيضان</t>
  </si>
  <si>
    <t xml:space="preserve"> أولاد عبد الله </t>
  </si>
  <si>
    <t xml:space="preserve"> القارصي</t>
  </si>
  <si>
    <t xml:space="preserve">وادي الخروب </t>
  </si>
  <si>
    <t xml:space="preserve"> سبدي مطير </t>
  </si>
  <si>
    <t>سيدي خليفة</t>
  </si>
  <si>
    <t xml:space="preserve">مداس النوارة 2 </t>
  </si>
  <si>
    <t xml:space="preserve"> لندرية</t>
  </si>
  <si>
    <t xml:space="preserve"> الزاوية (الساقية)</t>
  </si>
  <si>
    <t>الزرلين (بوغبغوبة)</t>
  </si>
  <si>
    <t xml:space="preserve">بو قطف  </t>
  </si>
  <si>
    <t xml:space="preserve">عكارة 3  </t>
  </si>
  <si>
    <t>عكارة 6</t>
  </si>
  <si>
    <t xml:space="preserve">العهد الجديد </t>
  </si>
  <si>
    <t xml:space="preserve">االبشاشمة </t>
  </si>
  <si>
    <t xml:space="preserve"> بئر الجديد</t>
  </si>
  <si>
    <t>زاوية سوسة</t>
  </si>
  <si>
    <t xml:space="preserve">المنارة </t>
  </si>
  <si>
    <t>الكنائس 1</t>
  </si>
  <si>
    <t>الكنائس 2</t>
  </si>
  <si>
    <t xml:space="preserve">زردوب 2  </t>
  </si>
  <si>
    <t xml:space="preserve">الشراشير  </t>
  </si>
  <si>
    <t>سيدي يحي</t>
  </si>
  <si>
    <t>تستور</t>
  </si>
  <si>
    <t>سيدي إبراهيم</t>
  </si>
  <si>
    <t>الخوالدية</t>
  </si>
  <si>
    <t>أولاد عياد</t>
  </si>
  <si>
    <t>باجة الجنوبية</t>
  </si>
  <si>
    <t>بوزعرورة</t>
  </si>
  <si>
    <t>تيبار وباجة جنوبية</t>
  </si>
  <si>
    <t>تيبار</t>
  </si>
  <si>
    <t>نفزة</t>
  </si>
  <si>
    <t>باجة الشمالية</t>
  </si>
  <si>
    <t>مجازالباب</t>
  </si>
  <si>
    <t>عمدون</t>
  </si>
  <si>
    <t>تبرسق</t>
  </si>
  <si>
    <t>مرناق</t>
  </si>
  <si>
    <t>فوشانة</t>
  </si>
  <si>
    <t>جندوبة الشمالية</t>
  </si>
  <si>
    <t xml:space="preserve">سطفورة 1 </t>
  </si>
  <si>
    <t xml:space="preserve">سطفورة 2 </t>
  </si>
  <si>
    <t xml:space="preserve">نصلة </t>
  </si>
  <si>
    <t xml:space="preserve">مقارشية </t>
  </si>
  <si>
    <t xml:space="preserve">شمتو </t>
  </si>
  <si>
    <t xml:space="preserve">السواني </t>
  </si>
  <si>
    <t>واد مليز</t>
  </si>
  <si>
    <t xml:space="preserve">سيدي عاصم </t>
  </si>
  <si>
    <t>سيدي عاصم 2</t>
  </si>
  <si>
    <t xml:space="preserve">بوقصة 2 </t>
  </si>
  <si>
    <t xml:space="preserve">بوقصة 3 </t>
  </si>
  <si>
    <t xml:space="preserve">بوقصة 4 </t>
  </si>
  <si>
    <t xml:space="preserve">وادي مليز الغربية </t>
  </si>
  <si>
    <t xml:space="preserve">حكيم 1 </t>
  </si>
  <si>
    <t xml:space="preserve">حكيم 2 </t>
  </si>
  <si>
    <t xml:space="preserve">المعايزية </t>
  </si>
  <si>
    <t>بلطة بوعوان</t>
  </si>
  <si>
    <t xml:space="preserve">بوعوان </t>
  </si>
  <si>
    <t>غار الدماء</t>
  </si>
  <si>
    <t xml:space="preserve">الرخاء </t>
  </si>
  <si>
    <t>عين دراهم</t>
  </si>
  <si>
    <t xml:space="preserve">حمام بورقيبة </t>
  </si>
  <si>
    <t xml:space="preserve">غدير الفرح </t>
  </si>
  <si>
    <t>فرنانة</t>
  </si>
  <si>
    <t xml:space="preserve">عين البية </t>
  </si>
  <si>
    <t xml:space="preserve">بوزعرورة </t>
  </si>
  <si>
    <t>بوسالم</t>
  </si>
  <si>
    <t>الجريف السعادة</t>
  </si>
  <si>
    <t>الجريف</t>
  </si>
  <si>
    <t>العزيمة</t>
  </si>
  <si>
    <t>المعاريف</t>
  </si>
  <si>
    <t>العيثة الشمالية</t>
  </si>
  <si>
    <t>العيثة الجنوبية</t>
  </si>
  <si>
    <t>تاسة</t>
  </si>
  <si>
    <t>عسيلة</t>
  </si>
  <si>
    <t>السمران</t>
  </si>
  <si>
    <t>بوهرتمة</t>
  </si>
  <si>
    <t>بوزديرة</t>
  </si>
  <si>
    <t>واد الوح</t>
  </si>
  <si>
    <t>ربيعة</t>
  </si>
  <si>
    <t>غزالة</t>
  </si>
  <si>
    <t>بن بشير</t>
  </si>
  <si>
    <t>7فيوض</t>
  </si>
  <si>
    <t>مجردة</t>
  </si>
  <si>
    <t>بوزيد</t>
  </si>
  <si>
    <t>البئر الاخضر</t>
  </si>
  <si>
    <t>بدرونة</t>
  </si>
  <si>
    <t>سيدي على الجبيني</t>
  </si>
  <si>
    <t>الخمايرية</t>
  </si>
  <si>
    <t>بربرة-فرنانة</t>
  </si>
  <si>
    <t>دقاش</t>
  </si>
  <si>
    <t>نفطـة</t>
  </si>
  <si>
    <t>حزوة</t>
  </si>
  <si>
    <t>تمغـزة</t>
  </si>
  <si>
    <t>بني خيار</t>
  </si>
  <si>
    <t>دار شعبان</t>
  </si>
  <si>
    <t>قربة</t>
  </si>
  <si>
    <t>الميدة</t>
  </si>
  <si>
    <t>منزل تميم</t>
  </si>
  <si>
    <t>الهوارية</t>
  </si>
  <si>
    <t>قليبية</t>
  </si>
  <si>
    <t>قرمبالية</t>
  </si>
  <si>
    <t>الحمامات</t>
  </si>
  <si>
    <t>القمبار</t>
  </si>
  <si>
    <t>الرشاد الطاحونة</t>
  </si>
  <si>
    <t>هبيرة</t>
  </si>
  <si>
    <t>أولاد الشامخ</t>
  </si>
  <si>
    <t>شربان</t>
  </si>
  <si>
    <t>السواسي</t>
  </si>
  <si>
    <t>الجم</t>
  </si>
  <si>
    <t>سيدي علوان</t>
  </si>
  <si>
    <t>ملولش</t>
  </si>
  <si>
    <t>الشابة</t>
  </si>
  <si>
    <t>قصور الساف</t>
  </si>
  <si>
    <r>
      <t>"الإمتياز"-   العلالقة</t>
    </r>
    <r>
      <rPr>
        <b/>
        <sz val="12"/>
        <color theme="1"/>
        <rFont val="Calibri"/>
        <family val="2"/>
        <scheme val="minor"/>
      </rPr>
      <t> </t>
    </r>
  </si>
  <si>
    <r>
      <t>"الوفاء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Sultan normal"/>
      </rPr>
      <t>"-  الخليدية</t>
    </r>
  </si>
  <si>
    <r>
      <t>"الإنطلاقة" - الزاوية</t>
    </r>
    <r>
      <rPr>
        <b/>
        <sz val="12"/>
        <color theme="1"/>
        <rFont val="Calibri"/>
        <family val="2"/>
        <scheme val="minor"/>
      </rPr>
      <t> </t>
    </r>
  </si>
  <si>
    <t>س,ج</t>
  </si>
  <si>
    <t>برقو</t>
  </si>
  <si>
    <t>سليانة الشمالية</t>
  </si>
  <si>
    <t>الروحية</t>
  </si>
  <si>
    <t>كسرى</t>
  </si>
  <si>
    <t>مكثر</t>
  </si>
  <si>
    <t>الكريب</t>
  </si>
  <si>
    <t>العروسة</t>
  </si>
  <si>
    <t>مجمع غير محدث</t>
  </si>
  <si>
    <t>صدقة 4</t>
  </si>
  <si>
    <t>الزيتونة (غير محدثة بامر)</t>
  </si>
  <si>
    <t>الاحواز</t>
  </si>
  <si>
    <t xml:space="preserve">الامل مليتة </t>
  </si>
  <si>
    <t>الروحية 1</t>
  </si>
  <si>
    <t>الروحية 2</t>
  </si>
  <si>
    <t>فندق دبيش المكثرية</t>
  </si>
  <si>
    <t>الحميمة 1</t>
  </si>
  <si>
    <t>اولا د الباهب</t>
  </si>
  <si>
    <t>سيدي خليف- سيدي جابر</t>
  </si>
  <si>
    <t>في طور انجاز الاشغال- على مساحة 84 هك</t>
  </si>
  <si>
    <t>في طور الانجاز- على مساحة 66 هك</t>
  </si>
  <si>
    <t>منطقة سقوية غير محدثة</t>
  </si>
  <si>
    <t>القلعة الخصبة</t>
  </si>
  <si>
    <t xml:space="preserve"> الرباط</t>
  </si>
  <si>
    <t>المنستير</t>
  </si>
  <si>
    <t>الساحلين</t>
  </si>
  <si>
    <t xml:space="preserve">البركة  </t>
  </si>
  <si>
    <t>الوردانين</t>
  </si>
  <si>
    <t>نبلة</t>
  </si>
  <si>
    <t xml:space="preserve"> النصر</t>
  </si>
  <si>
    <t>المكنين</t>
  </si>
  <si>
    <t>المنـــــار</t>
  </si>
  <si>
    <t xml:space="preserve"> القـــزة </t>
  </si>
  <si>
    <t>جمال</t>
  </si>
  <si>
    <t xml:space="preserve">توزان </t>
  </si>
  <si>
    <t>البقالطة</t>
  </si>
  <si>
    <t>طبلبة</t>
  </si>
  <si>
    <t>زرمدين</t>
  </si>
  <si>
    <t xml:space="preserve"> البغدادي </t>
  </si>
  <si>
    <t xml:space="preserve"> الباكورات   </t>
  </si>
  <si>
    <t xml:space="preserve">بودريس </t>
  </si>
  <si>
    <t xml:space="preserve"> الهذلية  </t>
  </si>
  <si>
    <t xml:space="preserve"> الشعيبات </t>
  </si>
  <si>
    <t>القدس</t>
  </si>
  <si>
    <t xml:space="preserve">عيسى بنمسكين </t>
  </si>
  <si>
    <t xml:space="preserve"> الفائض</t>
  </si>
  <si>
    <t>بني عثمان حاتم</t>
  </si>
  <si>
    <t xml:space="preserve">الجنايحة </t>
  </si>
  <si>
    <t>بيضون</t>
  </si>
  <si>
    <t>الشماطرة</t>
  </si>
  <si>
    <t xml:space="preserve"> الوفاق  </t>
  </si>
  <si>
    <t xml:space="preserve"> الفوز</t>
  </si>
  <si>
    <t>بومرزوق</t>
  </si>
  <si>
    <t xml:space="preserve"> المثالي  </t>
  </si>
  <si>
    <t xml:space="preserve">الخضــراء  </t>
  </si>
  <si>
    <t xml:space="preserve"> الازدهار </t>
  </si>
  <si>
    <t xml:space="preserve">الوردانين 2 </t>
  </si>
  <si>
    <t xml:space="preserve"> التوفيق  </t>
  </si>
  <si>
    <t xml:space="preserve"> النجــار  </t>
  </si>
  <si>
    <t>منزل خير</t>
  </si>
  <si>
    <t xml:space="preserve"> الامتياز  </t>
  </si>
  <si>
    <t xml:space="preserve"> الأمـل</t>
  </si>
  <si>
    <t xml:space="preserve"> البحيرة  </t>
  </si>
  <si>
    <t xml:space="preserve">هنشير اللوزة  </t>
  </si>
  <si>
    <t xml:space="preserve"> الوحـدة </t>
  </si>
  <si>
    <t xml:space="preserve">البساتين  </t>
  </si>
  <si>
    <t xml:space="preserve"> النصر </t>
  </si>
  <si>
    <t xml:space="preserve"> الامتياز </t>
  </si>
  <si>
    <t xml:space="preserve">التطور </t>
  </si>
  <si>
    <t xml:space="preserve"> الخيرات </t>
  </si>
  <si>
    <t xml:space="preserve">الإتحاد </t>
  </si>
  <si>
    <t xml:space="preserve">تربـة III </t>
  </si>
  <si>
    <t xml:space="preserve">التربة ديوان </t>
  </si>
  <si>
    <t xml:space="preserve"> الزيتونة </t>
  </si>
  <si>
    <t xml:space="preserve">رحاحلـة </t>
  </si>
  <si>
    <t xml:space="preserve">قصر الريـح  </t>
  </si>
  <si>
    <t xml:space="preserve">بوجمـــــل  </t>
  </si>
  <si>
    <t xml:space="preserve">شعلاب  </t>
  </si>
  <si>
    <t xml:space="preserve">الأعشــــــاش  </t>
  </si>
  <si>
    <t xml:space="preserve">بئر الملولي  </t>
  </si>
  <si>
    <t xml:space="preserve">سيدي غريب </t>
  </si>
  <si>
    <t xml:space="preserve">عجانقـة </t>
  </si>
  <si>
    <t xml:space="preserve">بطرية </t>
  </si>
  <si>
    <t xml:space="preserve">المناصريـة </t>
  </si>
  <si>
    <t>الحــزق 1</t>
  </si>
  <si>
    <t>الحــزق 2</t>
  </si>
  <si>
    <t xml:space="preserve">الحمازة-بلتـش  </t>
  </si>
  <si>
    <t xml:space="preserve"> الطموح</t>
  </si>
  <si>
    <t xml:space="preserve">الفيض  </t>
  </si>
  <si>
    <t xml:space="preserve">بليانــة  </t>
  </si>
  <si>
    <t xml:space="preserve">الخشارمـة  </t>
  </si>
  <si>
    <t xml:space="preserve">ذراع  بولايــش  </t>
  </si>
  <si>
    <t xml:space="preserve">المهارة 1 </t>
  </si>
  <si>
    <t xml:space="preserve">جليديـة </t>
  </si>
  <si>
    <t xml:space="preserve">الوسط </t>
  </si>
  <si>
    <t>الحنشة للمياه المعالجة</t>
  </si>
  <si>
    <t>التربـةII</t>
  </si>
  <si>
    <t xml:space="preserve">التربـة I </t>
  </si>
  <si>
    <t>العقارب</t>
  </si>
  <si>
    <t>منزل شاكر</t>
  </si>
  <si>
    <t>المحرس</t>
  </si>
  <si>
    <t>جبنيانة</t>
  </si>
  <si>
    <t>العامرة</t>
  </si>
  <si>
    <t>الغريبة</t>
  </si>
  <si>
    <t>قرقنة</t>
  </si>
  <si>
    <t>طينة</t>
  </si>
  <si>
    <t>أم جمار</t>
  </si>
  <si>
    <t>معتمدية الرديف</t>
  </si>
  <si>
    <t>معتمدية المتلوي</t>
  </si>
  <si>
    <t>معتمدية السند</t>
  </si>
  <si>
    <t>معتمدية زانوش</t>
  </si>
  <si>
    <t>معتمدية القطار</t>
  </si>
  <si>
    <t>معتمدية سيدي بوبكر</t>
  </si>
  <si>
    <t>معتمدية أم العرائس</t>
  </si>
  <si>
    <t>معتمدية بلخير</t>
  </si>
  <si>
    <t>معتمدية سيدي عيش</t>
  </si>
  <si>
    <t>معتمدية قفصة الجنوبية</t>
  </si>
  <si>
    <t>معتمدية قفصة الشمالية</t>
  </si>
  <si>
    <t>قفصة الجنوب الغربي</t>
  </si>
  <si>
    <t>قفصة القصبة</t>
  </si>
  <si>
    <t>لالة</t>
  </si>
  <si>
    <t>المتلوي</t>
  </si>
  <si>
    <t>الناظور</t>
  </si>
  <si>
    <t>سيدي ثابت</t>
  </si>
  <si>
    <t>قلعة الأندلس</t>
  </si>
  <si>
    <t>قرطبة</t>
  </si>
  <si>
    <t>قبلي الشمالية</t>
  </si>
  <si>
    <t xml:space="preserve"> قبلي الجنوبية</t>
  </si>
  <si>
    <t>العين السخومة بجمنة</t>
  </si>
  <si>
    <t xml:space="preserve">راس العين </t>
  </si>
  <si>
    <t>البيوت المحمية بقبلي</t>
  </si>
  <si>
    <t>دوز الشمالية</t>
  </si>
  <si>
    <t>دوز الجنوبية</t>
  </si>
  <si>
    <t>سوق الأحد</t>
  </si>
  <si>
    <t>غير ناشطة</t>
  </si>
  <si>
    <t>الفوار</t>
  </si>
  <si>
    <t>رجيم معتوق</t>
  </si>
  <si>
    <t>أم الفرث 2</t>
  </si>
  <si>
    <t>أم الفرث 1</t>
  </si>
  <si>
    <t>بن زيتون 2</t>
  </si>
  <si>
    <t>بن زيتون1</t>
  </si>
  <si>
    <t>الدبابشة 2</t>
  </si>
  <si>
    <t>الفوار1</t>
  </si>
  <si>
    <t>الفوار2</t>
  </si>
  <si>
    <t>الفوار3</t>
  </si>
  <si>
    <t>أولاد محمد</t>
  </si>
  <si>
    <t>عين مستور</t>
  </si>
  <si>
    <t>القصيرة</t>
  </si>
  <si>
    <t>الأحواز</t>
  </si>
  <si>
    <t>الكرمة 1</t>
  </si>
  <si>
    <t>هنشير البرج</t>
  </si>
  <si>
    <t>الوصيف</t>
  </si>
  <si>
    <t>ذراع التمار 2</t>
  </si>
  <si>
    <t>السبيخة</t>
  </si>
  <si>
    <t>حفوز</t>
  </si>
  <si>
    <t>الوسلاتية</t>
  </si>
  <si>
    <t>الحاجب</t>
  </si>
  <si>
    <t>نصر الله</t>
  </si>
  <si>
    <t>بوحجلة</t>
  </si>
  <si>
    <t>الشراردة</t>
  </si>
  <si>
    <t>الشبيكة</t>
  </si>
  <si>
    <t>القيروان الجنوبية</t>
  </si>
  <si>
    <t>عين جلولة</t>
  </si>
  <si>
    <t>القيروان الشمالية</t>
  </si>
  <si>
    <t>جلمة</t>
  </si>
  <si>
    <t>زغمار 2</t>
  </si>
  <si>
    <t>حاجب 7</t>
  </si>
  <si>
    <t>حاجب 8</t>
  </si>
  <si>
    <t>بن مراد</t>
  </si>
  <si>
    <t>أولاد عشور</t>
  </si>
  <si>
    <t>سلتة</t>
  </si>
  <si>
    <t>شوايحية</t>
  </si>
  <si>
    <t>حساينية</t>
  </si>
  <si>
    <t>لزريق</t>
  </si>
  <si>
    <t>أولاد سعيد</t>
  </si>
  <si>
    <t>سبالة</t>
  </si>
  <si>
    <t>السد أولاد عسكر</t>
  </si>
  <si>
    <t>الفالتة</t>
  </si>
  <si>
    <t>الشطايطية</t>
  </si>
  <si>
    <t>بئر الحفي</t>
  </si>
  <si>
    <t>العظلة المزارة</t>
  </si>
  <si>
    <t>السلامة 1</t>
  </si>
  <si>
    <t>الحرشان</t>
  </si>
  <si>
    <t>السلامة 2 العمايرية</t>
  </si>
  <si>
    <t>أولاد خليفة المحمدية</t>
  </si>
  <si>
    <t>سيدي بوزيد الغربية</t>
  </si>
  <si>
    <t>أم العظام</t>
  </si>
  <si>
    <t>سيدي السائح 1</t>
  </si>
  <si>
    <t>بير بدرة</t>
  </si>
  <si>
    <t>الفريو</t>
  </si>
  <si>
    <t xml:space="preserve">سيدي سائح 2 </t>
  </si>
  <si>
    <t>أولاد أبراهيم</t>
  </si>
  <si>
    <t>الحواجبية</t>
  </si>
  <si>
    <t>البراقة</t>
  </si>
  <si>
    <t>سيدي بوزيد الشرقية</t>
  </si>
  <si>
    <t>مليكات</t>
  </si>
  <si>
    <t>قطرانة الجنوبية</t>
  </si>
  <si>
    <t>قرع بنور</t>
  </si>
  <si>
    <t>أولاد عمر</t>
  </si>
  <si>
    <t>المورد</t>
  </si>
  <si>
    <t>فالتة بوزيد</t>
  </si>
  <si>
    <t>سيدي منصور بن سعيد</t>
  </si>
  <si>
    <t>السوق الجديد</t>
  </si>
  <si>
    <t>غريويس2</t>
  </si>
  <si>
    <t>الزفزاف</t>
  </si>
  <si>
    <t>الحشانة بودخان</t>
  </si>
  <si>
    <t>الرميلية</t>
  </si>
  <si>
    <t>منزل بوزيان</t>
  </si>
  <si>
    <t>النوامر</t>
  </si>
  <si>
    <t>عين الجمال</t>
  </si>
  <si>
    <t>أولاد بن جدو</t>
  </si>
  <si>
    <t>العررعاريّة</t>
  </si>
  <si>
    <t>المزّونة</t>
  </si>
  <si>
    <t>الدوّارة</t>
  </si>
  <si>
    <t>البوع</t>
  </si>
  <si>
    <t>الغريس الشرقية</t>
  </si>
  <si>
    <t>المكناسي</t>
  </si>
  <si>
    <t>دخلة العلندة</t>
  </si>
  <si>
    <t>النصر اا</t>
  </si>
  <si>
    <t>النصر ااا</t>
  </si>
  <si>
    <t>غريس الغربية</t>
  </si>
  <si>
    <t>المش</t>
  </si>
  <si>
    <t>المبروكة</t>
  </si>
  <si>
    <t>الروانة</t>
  </si>
  <si>
    <t>بنعون</t>
  </si>
  <si>
    <t>الحرشان الواعرة</t>
  </si>
  <si>
    <t>أولاد حفوز</t>
  </si>
  <si>
    <t>الأدواز 1</t>
  </si>
  <si>
    <t>السيوف</t>
  </si>
  <si>
    <t>الرقاب</t>
  </si>
  <si>
    <t>بئر خليفة</t>
  </si>
  <si>
    <t>الرضاع هنشير الخدم</t>
  </si>
  <si>
    <t>سيدي بوزيد</t>
  </si>
  <si>
    <t>صواف</t>
  </si>
  <si>
    <t>الفحص</t>
  </si>
  <si>
    <t>3.4</t>
  </si>
  <si>
    <t>الزريبة</t>
  </si>
  <si>
    <t>بئر مشارقة</t>
  </si>
  <si>
    <t>غار الملح</t>
  </si>
  <si>
    <t xml:space="preserve">أوتيك </t>
  </si>
  <si>
    <t>منزل جميل</t>
  </si>
  <si>
    <t xml:space="preserve">بنزرت الجنوبية </t>
  </si>
  <si>
    <t xml:space="preserve">سجنان </t>
  </si>
  <si>
    <t xml:space="preserve">زواوين الرهان </t>
  </si>
  <si>
    <t xml:space="preserve">لزين باش حامبة </t>
  </si>
  <si>
    <t>أوتيك الأمل</t>
  </si>
  <si>
    <t xml:space="preserve">الحدائق </t>
  </si>
  <si>
    <t xml:space="preserve">جالطة غزالة </t>
  </si>
  <si>
    <t xml:space="preserve">تسكراية </t>
  </si>
  <si>
    <t xml:space="preserve">النزهة </t>
  </si>
  <si>
    <t>برج العامري</t>
  </si>
  <si>
    <t>المرناقية</t>
  </si>
  <si>
    <t>البطان</t>
  </si>
  <si>
    <t>الشويقي (المستقبل)</t>
  </si>
  <si>
    <t>طبربة</t>
  </si>
  <si>
    <t>الولاية_gouvernorat</t>
  </si>
  <si>
    <t>المعتمدية_delegation</t>
  </si>
  <si>
    <t>عدد_المستغلين_الفلاحين_nbr_beneficiere</t>
  </si>
  <si>
    <t>المساحة_القابلة_للري_sup_irriguable_ha</t>
  </si>
  <si>
    <t>إسم_المجمع_GDA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</si>
</sst>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18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sz val="10"/>
      <name val="Arabic Transparent"/>
      <charset val="178"/>
    </font>
    <font>
      <sz val="10"/>
      <name val="MS Sans Serif"/>
      <family val="2"/>
    </font>
    <font>
      <sz val="10"/>
      <name val="MS Sans Serif"/>
      <family val="2"/>
      <charset val="178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Times New Roman"/>
      <family val="1"/>
    </font>
    <font>
      <b/>
      <sz val="12"/>
      <color theme="1"/>
      <name val="Sultan normal"/>
    </font>
    <font>
      <b/>
      <sz val="12"/>
      <color rgb="FF000000"/>
      <name val="Times New Roman"/>
      <family val="1"/>
    </font>
    <font>
      <sz val="10"/>
      <color indexed="8"/>
      <name val="Arial"/>
      <family val="2"/>
    </font>
    <font>
      <sz val="12"/>
      <color rgb="FF000000"/>
      <name val="Times New Roman"/>
      <family val="1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2" fillId="0" borderId="0" applyFont="0" applyFill="0" applyBorder="0" applyAlignment="0" applyProtection="0"/>
    <xf numFmtId="0" fontId="4" fillId="0" borderId="0"/>
    <xf numFmtId="0" fontId="3" fillId="0" borderId="0" applyNumberFormat="0">
      <alignment horizontal="right"/>
    </xf>
    <xf numFmtId="43" fontId="5" fillId="0" borderId="0" applyFont="0" applyFill="0" applyBorder="0" applyAlignment="0" applyProtection="0"/>
    <xf numFmtId="0" fontId="2" fillId="0" borderId="0"/>
    <xf numFmtId="0" fontId="2" fillId="0" borderId="0"/>
    <xf numFmtId="0" fontId="15" fillId="0" borderId="0"/>
  </cellStyleXfs>
  <cellXfs count="92">
    <xf numFmtId="0" fontId="0" fillId="0" borderId="0" xfId="0"/>
    <xf numFmtId="0" fontId="1" fillId="0" borderId="1" xfId="0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 readingOrder="2"/>
    </xf>
    <xf numFmtId="0" fontId="7" fillId="0" borderId="1" xfId="0" applyFont="1" applyFill="1" applyBorder="1" applyAlignment="1">
      <alignment horizontal="center" vertical="center" wrapText="1" readingOrder="2"/>
    </xf>
    <xf numFmtId="1" fontId="7" fillId="0" borderId="1" xfId="0" applyNumberFormat="1" applyFont="1" applyBorder="1" applyAlignment="1">
      <alignment horizontal="center" vertical="center" wrapText="1" readingOrder="2"/>
    </xf>
    <xf numFmtId="1" fontId="7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 readingOrder="2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vertical="center" wrapText="1" readingOrder="2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" fontId="8" fillId="2" borderId="0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" fontId="8" fillId="2" borderId="6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9" fillId="0" borderId="1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8" fillId="0" borderId="1" xfId="7" applyNumberFormat="1" applyFont="1" applyFill="1" applyBorder="1" applyAlignment="1">
      <alignment horizontal="center" vertical="center" wrapText="1"/>
    </xf>
    <xf numFmtId="0" fontId="8" fillId="2" borderId="1" xfId="7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7" fillId="0" borderId="6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  <xf numFmtId="0" fontId="16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 readingOrder="2"/>
    </xf>
    <xf numFmtId="1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" fillId="0" borderId="6" xfId="2" applyFont="1" applyFill="1" applyBorder="1" applyAlignment="1">
      <alignment vertical="center" wrapText="1"/>
    </xf>
    <xf numFmtId="0" fontId="1" fillId="0" borderId="1" xfId="2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 applyAlignment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center" vertical="center" wrapText="1" readingOrder="2"/>
    </xf>
    <xf numFmtId="0" fontId="1" fillId="0" borderId="1" xfId="0" applyFont="1" applyFill="1" applyBorder="1" applyAlignment="1">
      <alignment horizontal="center" vertical="center" wrapText="1" readingOrder="2"/>
    </xf>
  </cellXfs>
  <cellStyles count="8">
    <cellStyle name="Euro" xfId="1"/>
    <cellStyle name="Milliers 2" xfId="4"/>
    <cellStyle name="MS_Arabe" xfId="3"/>
    <cellStyle name="Normal" xfId="0" builtinId="0"/>
    <cellStyle name="Normal 2" xfId="2"/>
    <cellStyle name="Normal 3" xfId="5"/>
    <cellStyle name="Normal 6" xfId="6"/>
    <cellStyle name="Normal_Feuil1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6"/>
  <sheetViews>
    <sheetView tabSelected="1" workbookViewId="0">
      <selection activeCell="C1" sqref="C1"/>
    </sheetView>
  </sheetViews>
  <sheetFormatPr baseColWidth="10" defaultRowHeight="15.75"/>
  <cols>
    <col min="1" max="1" width="18.85546875" style="8" customWidth="1"/>
    <col min="2" max="2" width="23.42578125" style="38" customWidth="1"/>
    <col min="3" max="3" width="22.140625" style="8" customWidth="1"/>
    <col min="4" max="4" width="31.42578125" customWidth="1"/>
    <col min="5" max="5" width="28.42578125" customWidth="1"/>
  </cols>
  <sheetData>
    <row r="1" spans="1:5" s="8" customFormat="1" ht="31.5">
      <c r="A1" s="22" t="s">
        <v>1360</v>
      </c>
      <c r="B1" s="22" t="s">
        <v>1361</v>
      </c>
      <c r="C1" s="22" t="s">
        <v>1364</v>
      </c>
      <c r="D1" s="22" t="s">
        <v>1363</v>
      </c>
      <c r="E1" s="22" t="s">
        <v>1362</v>
      </c>
    </row>
    <row r="2" spans="1:5">
      <c r="A2" s="22" t="s">
        <v>33</v>
      </c>
      <c r="B2" s="22" t="s">
        <v>4</v>
      </c>
      <c r="C2" s="22" t="s">
        <v>4</v>
      </c>
      <c r="D2" s="3">
        <v>2942</v>
      </c>
      <c r="E2" s="3">
        <v>445</v>
      </c>
    </row>
    <row r="3" spans="1:5">
      <c r="A3" s="22" t="s">
        <v>33</v>
      </c>
      <c r="B3" s="22" t="s">
        <v>4</v>
      </c>
      <c r="C3" s="22" t="s">
        <v>1011</v>
      </c>
      <c r="D3" s="3">
        <v>95</v>
      </c>
      <c r="E3" s="3">
        <v>33</v>
      </c>
    </row>
    <row r="4" spans="1:5">
      <c r="A4" s="22" t="s">
        <v>33</v>
      </c>
      <c r="B4" s="22" t="s">
        <v>4</v>
      </c>
      <c r="C4" s="22" t="s">
        <v>1</v>
      </c>
      <c r="D4" s="3">
        <v>120</v>
      </c>
      <c r="E4" s="3">
        <v>21</v>
      </c>
    </row>
    <row r="5" spans="1:5">
      <c r="A5" s="22" t="s">
        <v>33</v>
      </c>
      <c r="B5" s="22" t="s">
        <v>1012</v>
      </c>
      <c r="C5" s="22" t="s">
        <v>1013</v>
      </c>
      <c r="D5" s="3">
        <v>545</v>
      </c>
      <c r="E5" s="3">
        <v>93</v>
      </c>
    </row>
    <row r="6" spans="1:5">
      <c r="A6" s="22" t="s">
        <v>33</v>
      </c>
      <c r="B6" s="22" t="s">
        <v>1012</v>
      </c>
      <c r="C6" s="22" t="s">
        <v>5</v>
      </c>
      <c r="D6" s="3">
        <v>741</v>
      </c>
      <c r="E6" s="3">
        <v>90</v>
      </c>
    </row>
    <row r="7" spans="1:5">
      <c r="A7" s="22" t="s">
        <v>33</v>
      </c>
      <c r="B7" s="22" t="s">
        <v>1012</v>
      </c>
      <c r="C7" s="22" t="s">
        <v>6</v>
      </c>
      <c r="D7" s="3">
        <v>660</v>
      </c>
      <c r="E7" s="3">
        <v>77</v>
      </c>
    </row>
    <row r="8" spans="1:5">
      <c r="A8" s="22" t="s">
        <v>33</v>
      </c>
      <c r="B8" s="22" t="s">
        <v>1012</v>
      </c>
      <c r="C8" s="22" t="s">
        <v>1014</v>
      </c>
      <c r="D8" s="3">
        <v>57</v>
      </c>
      <c r="E8" s="3">
        <v>22</v>
      </c>
    </row>
    <row r="9" spans="1:5">
      <c r="A9" s="22" t="s">
        <v>33</v>
      </c>
      <c r="B9" s="22" t="s">
        <v>1012</v>
      </c>
      <c r="C9" s="22" t="s">
        <v>16</v>
      </c>
      <c r="D9" s="3">
        <v>134</v>
      </c>
      <c r="E9" s="3">
        <v>64</v>
      </c>
    </row>
    <row r="10" spans="1:5">
      <c r="A10" s="22" t="s">
        <v>33</v>
      </c>
      <c r="B10" s="22" t="s">
        <v>1012</v>
      </c>
      <c r="C10" s="22" t="s">
        <v>1015</v>
      </c>
      <c r="D10" s="3">
        <v>100</v>
      </c>
      <c r="E10" s="3">
        <v>32</v>
      </c>
    </row>
    <row r="11" spans="1:5">
      <c r="A11" s="22" t="s">
        <v>33</v>
      </c>
      <c r="B11" s="22" t="s">
        <v>1012</v>
      </c>
      <c r="C11" s="22" t="s">
        <v>25</v>
      </c>
      <c r="D11" s="3">
        <v>31</v>
      </c>
      <c r="E11" s="3">
        <v>21</v>
      </c>
    </row>
    <row r="12" spans="1:5">
      <c r="A12" s="22" t="s">
        <v>33</v>
      </c>
      <c r="B12" s="22" t="s">
        <v>1012</v>
      </c>
      <c r="C12" s="22" t="s">
        <v>17</v>
      </c>
      <c r="D12" s="3">
        <v>114</v>
      </c>
      <c r="E12" s="3">
        <v>32</v>
      </c>
    </row>
    <row r="13" spans="1:5">
      <c r="A13" s="22" t="s">
        <v>33</v>
      </c>
      <c r="B13" s="22" t="s">
        <v>1016</v>
      </c>
      <c r="C13" s="22" t="s">
        <v>7</v>
      </c>
      <c r="D13" s="3">
        <v>587</v>
      </c>
      <c r="E13" s="3">
        <v>109</v>
      </c>
    </row>
    <row r="14" spans="1:5">
      <c r="A14" s="22" t="s">
        <v>33</v>
      </c>
      <c r="B14" s="22" t="s">
        <v>1016</v>
      </c>
      <c r="C14" s="22" t="s">
        <v>8</v>
      </c>
      <c r="D14" s="3">
        <v>418</v>
      </c>
      <c r="E14" s="3">
        <v>117</v>
      </c>
    </row>
    <row r="15" spans="1:5">
      <c r="A15" s="22" t="s">
        <v>33</v>
      </c>
      <c r="B15" s="22" t="s">
        <v>1016</v>
      </c>
      <c r="C15" s="22" t="s">
        <v>9</v>
      </c>
      <c r="D15" s="3">
        <v>689</v>
      </c>
      <c r="E15" s="3">
        <v>164</v>
      </c>
    </row>
    <row r="16" spans="1:5">
      <c r="A16" s="22" t="s">
        <v>33</v>
      </c>
      <c r="B16" s="22" t="s">
        <v>1016</v>
      </c>
      <c r="C16" s="22" t="s">
        <v>10</v>
      </c>
      <c r="D16" s="3">
        <v>636</v>
      </c>
      <c r="E16" s="3">
        <v>160</v>
      </c>
    </row>
    <row r="17" spans="1:5">
      <c r="A17" s="22" t="s">
        <v>33</v>
      </c>
      <c r="B17" s="22" t="s">
        <v>1016</v>
      </c>
      <c r="C17" s="22" t="s">
        <v>1017</v>
      </c>
      <c r="D17" s="3">
        <v>25</v>
      </c>
      <c r="E17" s="3">
        <v>8</v>
      </c>
    </row>
    <row r="18" spans="1:5">
      <c r="A18" s="22" t="s">
        <v>33</v>
      </c>
      <c r="B18" s="22" t="s">
        <v>1016</v>
      </c>
      <c r="C18" s="22" t="s">
        <v>31</v>
      </c>
      <c r="D18" s="3">
        <v>254</v>
      </c>
      <c r="E18" s="3">
        <v>20</v>
      </c>
    </row>
    <row r="19" spans="1:5">
      <c r="A19" s="22" t="s">
        <v>33</v>
      </c>
      <c r="B19" s="22" t="s">
        <v>1018</v>
      </c>
      <c r="C19" s="22" t="s">
        <v>11</v>
      </c>
      <c r="D19" s="3">
        <v>721</v>
      </c>
      <c r="E19" s="3">
        <v>137</v>
      </c>
    </row>
    <row r="20" spans="1:5">
      <c r="A20" s="22" t="s">
        <v>33</v>
      </c>
      <c r="B20" s="22" t="s">
        <v>1019</v>
      </c>
      <c r="C20" s="22" t="s">
        <v>22</v>
      </c>
      <c r="D20" s="3">
        <v>126</v>
      </c>
      <c r="E20" s="3">
        <v>56</v>
      </c>
    </row>
    <row r="21" spans="1:5">
      <c r="A21" s="22" t="s">
        <v>33</v>
      </c>
      <c r="B21" s="22" t="s">
        <v>1019</v>
      </c>
      <c r="C21" s="22" t="s">
        <v>29</v>
      </c>
      <c r="D21" s="3">
        <v>285</v>
      </c>
      <c r="E21" s="3">
        <v>825</v>
      </c>
    </row>
    <row r="22" spans="1:5">
      <c r="A22" s="22" t="s">
        <v>33</v>
      </c>
      <c r="B22" s="22" t="s">
        <v>1019</v>
      </c>
      <c r="C22" s="22" t="s">
        <v>21</v>
      </c>
      <c r="D22" s="3">
        <v>173</v>
      </c>
      <c r="E22" s="3">
        <v>56</v>
      </c>
    </row>
    <row r="23" spans="1:5">
      <c r="A23" s="22" t="s">
        <v>33</v>
      </c>
      <c r="B23" s="22" t="s">
        <v>1020</v>
      </c>
      <c r="C23" s="22" t="s">
        <v>12</v>
      </c>
      <c r="D23" s="3">
        <v>935</v>
      </c>
      <c r="E23" s="3">
        <v>1776</v>
      </c>
    </row>
    <row r="24" spans="1:5">
      <c r="A24" s="22" t="s">
        <v>33</v>
      </c>
      <c r="B24" s="22" t="s">
        <v>1020</v>
      </c>
      <c r="C24" s="22" t="s">
        <v>13</v>
      </c>
      <c r="D24" s="3">
        <v>718</v>
      </c>
      <c r="E24" s="3">
        <v>1364</v>
      </c>
    </row>
    <row r="25" spans="1:5">
      <c r="A25" s="22" t="s">
        <v>33</v>
      </c>
      <c r="B25" s="22" t="s">
        <v>1020</v>
      </c>
      <c r="C25" s="22" t="s">
        <v>14</v>
      </c>
      <c r="D25" s="3">
        <v>425</v>
      </c>
      <c r="E25" s="3">
        <v>857</v>
      </c>
    </row>
    <row r="26" spans="1:5">
      <c r="A26" s="22" t="s">
        <v>33</v>
      </c>
      <c r="B26" s="22" t="s">
        <v>1020</v>
      </c>
      <c r="C26" s="22" t="s">
        <v>15</v>
      </c>
      <c r="D26" s="3">
        <v>470</v>
      </c>
      <c r="E26" s="3">
        <v>902</v>
      </c>
    </row>
    <row r="27" spans="1:5">
      <c r="A27" s="22" t="s">
        <v>33</v>
      </c>
      <c r="B27" s="22" t="s">
        <v>1020</v>
      </c>
      <c r="C27" s="22" t="s">
        <v>18</v>
      </c>
      <c r="D27" s="3">
        <v>67</v>
      </c>
      <c r="E27" s="3">
        <v>39</v>
      </c>
    </row>
    <row r="28" spans="1:5">
      <c r="A28" s="22" t="s">
        <v>33</v>
      </c>
      <c r="B28" s="22" t="s">
        <v>1020</v>
      </c>
      <c r="C28" s="22" t="s">
        <v>28</v>
      </c>
      <c r="D28" s="3">
        <v>81</v>
      </c>
      <c r="E28" s="3">
        <v>104</v>
      </c>
    </row>
    <row r="29" spans="1:5">
      <c r="A29" s="22" t="s">
        <v>33</v>
      </c>
      <c r="B29" s="22" t="s">
        <v>1021</v>
      </c>
      <c r="C29" s="22" t="s">
        <v>19</v>
      </c>
      <c r="D29" s="3">
        <v>52</v>
      </c>
      <c r="E29" s="3">
        <v>40</v>
      </c>
    </row>
    <row r="30" spans="1:5">
      <c r="A30" s="22" t="s">
        <v>33</v>
      </c>
      <c r="B30" s="22" t="s">
        <v>1021</v>
      </c>
      <c r="C30" s="22" t="s">
        <v>20</v>
      </c>
      <c r="D30" s="3">
        <v>142</v>
      </c>
      <c r="E30" s="3">
        <v>33</v>
      </c>
    </row>
    <row r="31" spans="1:5">
      <c r="A31" s="22" t="s">
        <v>33</v>
      </c>
      <c r="B31" s="22" t="s">
        <v>1022</v>
      </c>
      <c r="C31" s="22" t="s">
        <v>23</v>
      </c>
      <c r="D31" s="3">
        <v>340</v>
      </c>
      <c r="E31" s="3">
        <v>18</v>
      </c>
    </row>
    <row r="32" spans="1:5">
      <c r="A32" s="22" t="s">
        <v>33</v>
      </c>
      <c r="B32" s="22" t="s">
        <v>1022</v>
      </c>
      <c r="C32" s="22" t="s">
        <v>32</v>
      </c>
      <c r="D32" s="3">
        <v>100</v>
      </c>
      <c r="E32" s="3">
        <v>2</v>
      </c>
    </row>
    <row r="33" spans="1:5">
      <c r="A33" s="22" t="s">
        <v>33</v>
      </c>
      <c r="B33" s="22" t="s">
        <v>1023</v>
      </c>
      <c r="C33" s="22" t="s">
        <v>24</v>
      </c>
      <c r="D33" s="3">
        <v>78</v>
      </c>
      <c r="E33" s="3">
        <v>58</v>
      </c>
    </row>
    <row r="34" spans="1:5">
      <c r="A34" s="22" t="s">
        <v>33</v>
      </c>
      <c r="B34" s="22" t="s">
        <v>1023</v>
      </c>
      <c r="C34" s="22" t="s">
        <v>30</v>
      </c>
      <c r="D34" s="3">
        <v>36</v>
      </c>
      <c r="E34" s="3">
        <v>71</v>
      </c>
    </row>
    <row r="35" spans="1:5">
      <c r="A35" s="22" t="s">
        <v>33</v>
      </c>
      <c r="B35" s="22" t="s">
        <v>1023</v>
      </c>
      <c r="C35" s="22" t="s">
        <v>0</v>
      </c>
      <c r="D35" s="3">
        <v>102</v>
      </c>
      <c r="E35" s="3">
        <v>39</v>
      </c>
    </row>
    <row r="36" spans="1:5">
      <c r="A36" s="22" t="s">
        <v>33</v>
      </c>
      <c r="B36" s="22" t="s">
        <v>1024</v>
      </c>
      <c r="C36" s="22" t="s">
        <v>26</v>
      </c>
      <c r="D36" s="3">
        <v>28</v>
      </c>
      <c r="E36" s="3">
        <v>14</v>
      </c>
    </row>
    <row r="37" spans="1:5">
      <c r="A37" s="22" t="s">
        <v>33</v>
      </c>
      <c r="B37" s="22" t="s">
        <v>1024</v>
      </c>
      <c r="C37" s="22" t="s">
        <v>27</v>
      </c>
      <c r="D37" s="3">
        <v>70</v>
      </c>
      <c r="E37" s="3">
        <v>12</v>
      </c>
    </row>
    <row r="38" spans="1:5">
      <c r="A38" s="22" t="s">
        <v>37</v>
      </c>
      <c r="B38" s="22" t="s">
        <v>1025</v>
      </c>
      <c r="C38" s="22" t="s">
        <v>35</v>
      </c>
      <c r="D38" s="3">
        <v>67</v>
      </c>
      <c r="E38" s="3">
        <v>33</v>
      </c>
    </row>
    <row r="39" spans="1:5">
      <c r="A39" s="22" t="s">
        <v>37</v>
      </c>
      <c r="B39" s="22" t="s">
        <v>1025</v>
      </c>
      <c r="C39" s="22" t="s">
        <v>38</v>
      </c>
      <c r="D39" s="3">
        <v>60</v>
      </c>
      <c r="E39" s="3">
        <v>31</v>
      </c>
    </row>
    <row r="40" spans="1:5">
      <c r="A40" s="22" t="s">
        <v>37</v>
      </c>
      <c r="B40" s="22" t="s">
        <v>1025</v>
      </c>
      <c r="C40" s="22" t="s">
        <v>39</v>
      </c>
      <c r="D40" s="3">
        <v>115</v>
      </c>
      <c r="E40" s="3">
        <v>10</v>
      </c>
    </row>
    <row r="41" spans="1:5">
      <c r="A41" s="22" t="s">
        <v>37</v>
      </c>
      <c r="B41" s="22" t="s">
        <v>1025</v>
      </c>
      <c r="C41" s="22" t="s">
        <v>40</v>
      </c>
      <c r="D41" s="3">
        <v>207</v>
      </c>
      <c r="E41" s="3">
        <v>23</v>
      </c>
    </row>
    <row r="42" spans="1:5">
      <c r="A42" s="22" t="s">
        <v>37</v>
      </c>
      <c r="B42" s="22" t="s">
        <v>1025</v>
      </c>
      <c r="C42" s="22" t="s">
        <v>41</v>
      </c>
      <c r="D42" s="3">
        <v>465</v>
      </c>
      <c r="E42" s="3">
        <v>100</v>
      </c>
    </row>
    <row r="43" spans="1:5">
      <c r="A43" s="22" t="s">
        <v>37</v>
      </c>
      <c r="B43" s="22" t="s">
        <v>1025</v>
      </c>
      <c r="C43" s="22" t="s">
        <v>36</v>
      </c>
      <c r="D43" s="3">
        <v>315</v>
      </c>
      <c r="E43" s="3">
        <v>104</v>
      </c>
    </row>
    <row r="44" spans="1:5">
      <c r="A44" s="22" t="s">
        <v>37</v>
      </c>
      <c r="B44" s="22" t="s">
        <v>1026</v>
      </c>
      <c r="C44" s="22" t="s">
        <v>42</v>
      </c>
      <c r="D44" s="3">
        <v>35</v>
      </c>
      <c r="E44" s="3">
        <v>4</v>
      </c>
    </row>
    <row r="45" spans="1:5">
      <c r="A45" s="22" t="s">
        <v>37</v>
      </c>
      <c r="B45" s="22" t="s">
        <v>1025</v>
      </c>
      <c r="C45" s="22" t="s">
        <v>43</v>
      </c>
      <c r="D45" s="3">
        <v>1320</v>
      </c>
      <c r="E45" s="3">
        <v>50</v>
      </c>
    </row>
    <row r="46" spans="1:5">
      <c r="A46" s="22" t="s">
        <v>37</v>
      </c>
      <c r="B46" s="22" t="s">
        <v>1025</v>
      </c>
      <c r="C46" s="22" t="s">
        <v>44</v>
      </c>
      <c r="D46" s="3">
        <v>72</v>
      </c>
      <c r="E46" s="3">
        <v>36</v>
      </c>
    </row>
    <row r="47" spans="1:5">
      <c r="A47" s="22" t="s">
        <v>37</v>
      </c>
      <c r="B47" s="22" t="s">
        <v>1025</v>
      </c>
      <c r="C47" s="22" t="s">
        <v>45</v>
      </c>
      <c r="D47" s="3">
        <v>128</v>
      </c>
      <c r="E47" s="3">
        <v>65</v>
      </c>
    </row>
    <row r="48" spans="1:5">
      <c r="A48" s="22" t="s">
        <v>37</v>
      </c>
      <c r="B48" s="22" t="s">
        <v>1025</v>
      </c>
      <c r="C48" s="22" t="s">
        <v>1102</v>
      </c>
      <c r="D48" s="3">
        <v>831</v>
      </c>
      <c r="E48" s="3">
        <v>176</v>
      </c>
    </row>
    <row r="49" spans="1:5">
      <c r="A49" s="22" t="s">
        <v>37</v>
      </c>
      <c r="B49" s="22" t="s">
        <v>1025</v>
      </c>
      <c r="C49" s="22" t="s">
        <v>1103</v>
      </c>
      <c r="D49" s="3">
        <v>607</v>
      </c>
      <c r="E49" s="3">
        <v>54</v>
      </c>
    </row>
    <row r="50" spans="1:5">
      <c r="A50" s="22" t="s">
        <v>37</v>
      </c>
      <c r="B50" s="22" t="s">
        <v>1025</v>
      </c>
      <c r="C50" s="22" t="s">
        <v>46</v>
      </c>
      <c r="D50" s="3">
        <v>1325</v>
      </c>
      <c r="E50" s="3">
        <v>276</v>
      </c>
    </row>
    <row r="51" spans="1:5" ht="18" customHeight="1">
      <c r="A51" s="22" t="s">
        <v>37</v>
      </c>
      <c r="B51" s="66" t="s">
        <v>1025</v>
      </c>
      <c r="C51" s="66" t="s">
        <v>1104</v>
      </c>
      <c r="D51" s="67">
        <v>1237</v>
      </c>
      <c r="E51" s="67">
        <v>287</v>
      </c>
    </row>
    <row r="52" spans="1:5">
      <c r="A52" s="22" t="s">
        <v>58</v>
      </c>
      <c r="B52" s="54" t="s">
        <v>47</v>
      </c>
      <c r="C52" s="54" t="s">
        <v>47</v>
      </c>
      <c r="D52" s="34">
        <v>946</v>
      </c>
      <c r="E52" s="34">
        <v>1550</v>
      </c>
    </row>
    <row r="53" spans="1:5">
      <c r="A53" s="22" t="s">
        <v>58</v>
      </c>
      <c r="B53" s="54" t="s">
        <v>48</v>
      </c>
      <c r="C53" s="54" t="s">
        <v>48</v>
      </c>
      <c r="D53" s="34">
        <v>3077</v>
      </c>
      <c r="E53" s="34">
        <v>2190</v>
      </c>
    </row>
    <row r="54" spans="1:5" ht="16.5" customHeight="1">
      <c r="A54" s="22" t="s">
        <v>58</v>
      </c>
      <c r="B54" s="79" t="s">
        <v>1343</v>
      </c>
      <c r="C54" s="79" t="s">
        <v>49</v>
      </c>
      <c r="D54" s="34">
        <v>272</v>
      </c>
      <c r="E54" s="34">
        <v>620</v>
      </c>
    </row>
    <row r="55" spans="1:5" ht="16.5" customHeight="1">
      <c r="A55" s="22" t="s">
        <v>58</v>
      </c>
      <c r="B55" s="79"/>
      <c r="C55" s="79"/>
      <c r="D55" s="34">
        <v>250</v>
      </c>
      <c r="E55" s="34">
        <v>505</v>
      </c>
    </row>
    <row r="56" spans="1:5" ht="15.75" customHeight="1">
      <c r="A56" s="22" t="s">
        <v>58</v>
      </c>
      <c r="B56" s="79"/>
      <c r="C56" s="54" t="s">
        <v>1348</v>
      </c>
      <c r="D56" s="34">
        <v>133</v>
      </c>
      <c r="E56" s="34">
        <v>677</v>
      </c>
    </row>
    <row r="57" spans="1:5" ht="16.5" customHeight="1">
      <c r="A57" s="22" t="s">
        <v>58</v>
      </c>
      <c r="B57" s="79"/>
      <c r="C57" s="54" t="s">
        <v>50</v>
      </c>
      <c r="D57" s="34">
        <v>100</v>
      </c>
      <c r="E57" s="34">
        <v>324</v>
      </c>
    </row>
    <row r="58" spans="1:5" ht="16.5" customHeight="1">
      <c r="A58" s="22" t="s">
        <v>58</v>
      </c>
      <c r="B58" s="79" t="s">
        <v>1344</v>
      </c>
      <c r="C58" s="79" t="s">
        <v>1349</v>
      </c>
      <c r="D58" s="86">
        <v>220</v>
      </c>
      <c r="E58" s="86">
        <v>1463</v>
      </c>
    </row>
    <row r="59" spans="1:5" ht="15.75" customHeight="1">
      <c r="A59" s="22" t="s">
        <v>58</v>
      </c>
      <c r="B59" s="79"/>
      <c r="C59" s="79"/>
      <c r="D59" s="86"/>
      <c r="E59" s="89"/>
    </row>
    <row r="60" spans="1:5" ht="16.5" customHeight="1">
      <c r="A60" s="22" t="s">
        <v>58</v>
      </c>
      <c r="B60" s="79"/>
      <c r="C60" s="79"/>
      <c r="D60" s="86"/>
      <c r="E60" s="89"/>
    </row>
    <row r="61" spans="1:5" ht="15.75" customHeight="1">
      <c r="A61" s="22" t="s">
        <v>58</v>
      </c>
      <c r="B61" s="79"/>
      <c r="C61" s="54" t="s">
        <v>51</v>
      </c>
      <c r="D61" s="34">
        <v>212</v>
      </c>
      <c r="E61" s="30">
        <v>1450</v>
      </c>
    </row>
    <row r="62" spans="1:5" ht="16.5" customHeight="1">
      <c r="A62" s="22" t="s">
        <v>58</v>
      </c>
      <c r="B62" s="79"/>
      <c r="C62" s="79" t="s">
        <v>1350</v>
      </c>
      <c r="D62" s="86">
        <v>271</v>
      </c>
      <c r="E62" s="87">
        <v>1394</v>
      </c>
    </row>
    <row r="63" spans="1:5" ht="15.75" customHeight="1">
      <c r="A63" s="22" t="s">
        <v>58</v>
      </c>
      <c r="B63" s="79"/>
      <c r="C63" s="79"/>
      <c r="D63" s="86"/>
      <c r="E63" s="88"/>
    </row>
    <row r="64" spans="1:5" ht="15.75" customHeight="1">
      <c r="A64" s="22" t="s">
        <v>58</v>
      </c>
      <c r="B64" s="79"/>
      <c r="C64" s="79"/>
      <c r="D64" s="86"/>
      <c r="E64" s="88"/>
    </row>
    <row r="65" spans="1:5" ht="16.5" customHeight="1">
      <c r="A65" s="22" t="s">
        <v>58</v>
      </c>
      <c r="B65" s="79"/>
      <c r="C65" s="79"/>
      <c r="D65" s="86"/>
      <c r="E65" s="88"/>
    </row>
    <row r="66" spans="1:5">
      <c r="A66" s="22" t="s">
        <v>58</v>
      </c>
      <c r="B66" s="57" t="s">
        <v>1345</v>
      </c>
      <c r="C66" s="54" t="s">
        <v>1351</v>
      </c>
      <c r="D66" s="30">
        <v>231</v>
      </c>
      <c r="E66" s="30">
        <v>715</v>
      </c>
    </row>
    <row r="67" spans="1:5">
      <c r="A67" s="22" t="s">
        <v>58</v>
      </c>
      <c r="B67" s="54" t="s">
        <v>53</v>
      </c>
      <c r="C67" s="55" t="s">
        <v>53</v>
      </c>
      <c r="D67" s="34">
        <v>92</v>
      </c>
      <c r="E67" s="30">
        <v>1935</v>
      </c>
    </row>
    <row r="68" spans="1:5" ht="16.5" customHeight="1">
      <c r="A68" s="22" t="s">
        <v>58</v>
      </c>
      <c r="B68" s="79" t="s">
        <v>1068</v>
      </c>
      <c r="C68" s="79" t="s">
        <v>1352</v>
      </c>
      <c r="D68" s="73">
        <f>E68/1.6</f>
        <v>109.375</v>
      </c>
      <c r="E68" s="30">
        <v>175</v>
      </c>
    </row>
    <row r="69" spans="1:5" ht="15.75" customHeight="1">
      <c r="A69" s="22" t="s">
        <v>58</v>
      </c>
      <c r="B69" s="79"/>
      <c r="C69" s="79"/>
      <c r="D69" s="34">
        <v>180</v>
      </c>
      <c r="E69" s="30">
        <v>300</v>
      </c>
    </row>
    <row r="70" spans="1:5" ht="15.75" customHeight="1">
      <c r="A70" s="22" t="s">
        <v>58</v>
      </c>
      <c r="B70" s="79"/>
      <c r="C70" s="79"/>
      <c r="D70" s="34">
        <f>10+54</f>
        <v>64</v>
      </c>
      <c r="E70" s="30">
        <f>225+368</f>
        <v>593</v>
      </c>
    </row>
    <row r="71" spans="1:5" ht="16.5" customHeight="1">
      <c r="A71" s="22" t="s">
        <v>58</v>
      </c>
      <c r="B71" s="79"/>
      <c r="C71" s="79"/>
      <c r="D71" s="34">
        <v>91</v>
      </c>
      <c r="E71" s="30">
        <v>143</v>
      </c>
    </row>
    <row r="72" spans="1:5" ht="16.5" customHeight="1">
      <c r="A72" s="22" t="s">
        <v>58</v>
      </c>
      <c r="B72" s="79"/>
      <c r="C72" s="79" t="s">
        <v>11</v>
      </c>
      <c r="D72" s="34">
        <v>391</v>
      </c>
      <c r="E72" s="30">
        <v>1030</v>
      </c>
    </row>
    <row r="73" spans="1:5" ht="16.5" customHeight="1">
      <c r="A73" s="22" t="s">
        <v>58</v>
      </c>
      <c r="B73" s="79"/>
      <c r="C73" s="79"/>
      <c r="D73" s="34">
        <v>16</v>
      </c>
      <c r="E73" s="30">
        <v>228</v>
      </c>
    </row>
    <row r="74" spans="1:5" ht="16.5" customHeight="1">
      <c r="A74" s="22" t="s">
        <v>58</v>
      </c>
      <c r="B74" s="81" t="s">
        <v>1346</v>
      </c>
      <c r="C74" s="79" t="s">
        <v>1353</v>
      </c>
      <c r="D74" s="73">
        <f>E74/3</f>
        <v>90</v>
      </c>
      <c r="E74" s="30">
        <v>270</v>
      </c>
    </row>
    <row r="75" spans="1:5" ht="15.75" customHeight="1">
      <c r="A75" s="22" t="s">
        <v>58</v>
      </c>
      <c r="B75" s="81"/>
      <c r="C75" s="79"/>
      <c r="D75" s="34">
        <f t="shared" ref="D75:D76" si="0">E75/3</f>
        <v>35</v>
      </c>
      <c r="E75" s="34">
        <v>105</v>
      </c>
    </row>
    <row r="76" spans="1:5" ht="16.5" customHeight="1">
      <c r="A76" s="22" t="s">
        <v>58</v>
      </c>
      <c r="B76" s="81"/>
      <c r="C76" s="79"/>
      <c r="D76" s="34">
        <f t="shared" si="0"/>
        <v>95</v>
      </c>
      <c r="E76" s="34">
        <v>285</v>
      </c>
    </row>
    <row r="77" spans="1:5" ht="16.5" customHeight="1">
      <c r="A77" s="22" t="s">
        <v>58</v>
      </c>
      <c r="B77" s="79" t="s">
        <v>1347</v>
      </c>
      <c r="C77" s="54" t="s">
        <v>54</v>
      </c>
      <c r="D77" s="34">
        <v>659</v>
      </c>
      <c r="E77" s="34">
        <v>1135</v>
      </c>
    </row>
    <row r="78" spans="1:5">
      <c r="A78" s="22" t="s">
        <v>58</v>
      </c>
      <c r="B78" s="79"/>
      <c r="C78" s="54" t="s">
        <v>55</v>
      </c>
      <c r="D78" s="34">
        <v>613</v>
      </c>
      <c r="E78" s="34">
        <v>620</v>
      </c>
    </row>
    <row r="79" spans="1:5">
      <c r="A79" s="56" t="s">
        <v>58</v>
      </c>
      <c r="B79" s="79"/>
      <c r="C79" s="54" t="s">
        <v>7</v>
      </c>
      <c r="D79" s="34">
        <v>450</v>
      </c>
      <c r="E79" s="34">
        <v>952</v>
      </c>
    </row>
    <row r="80" spans="1:5">
      <c r="A80" s="56" t="s">
        <v>58</v>
      </c>
      <c r="B80" s="79"/>
      <c r="C80" s="54" t="s">
        <v>56</v>
      </c>
      <c r="D80" s="34">
        <v>957</v>
      </c>
      <c r="E80" s="34">
        <v>993</v>
      </c>
    </row>
    <row r="81" spans="1:5">
      <c r="A81" s="56" t="s">
        <v>58</v>
      </c>
      <c r="B81" s="54" t="s">
        <v>1344</v>
      </c>
      <c r="C81" s="54" t="s">
        <v>1354</v>
      </c>
      <c r="D81" s="34">
        <v>36</v>
      </c>
      <c r="E81" s="34">
        <v>200</v>
      </c>
    </row>
    <row r="82" spans="1:5" ht="14.25" customHeight="1">
      <c r="A82" s="22" t="s">
        <v>61</v>
      </c>
      <c r="B82" s="84" t="s">
        <v>1027</v>
      </c>
      <c r="C82" s="22" t="s">
        <v>1028</v>
      </c>
      <c r="D82" s="14">
        <v>20</v>
      </c>
      <c r="E82" s="14">
        <v>18</v>
      </c>
    </row>
    <row r="83" spans="1:5">
      <c r="A83" s="22" t="s">
        <v>61</v>
      </c>
      <c r="B83" s="84"/>
      <c r="C83" s="22" t="s">
        <v>1029</v>
      </c>
      <c r="D83" s="14">
        <v>80</v>
      </c>
      <c r="E83" s="14">
        <v>47</v>
      </c>
    </row>
    <row r="84" spans="1:5">
      <c r="A84" s="22" t="s">
        <v>61</v>
      </c>
      <c r="B84" s="84"/>
      <c r="C84" s="22" t="s">
        <v>1030</v>
      </c>
      <c r="D84" s="14">
        <v>25</v>
      </c>
      <c r="E84" s="14">
        <v>7</v>
      </c>
    </row>
    <row r="85" spans="1:5">
      <c r="A85" s="22" t="s">
        <v>61</v>
      </c>
      <c r="B85" s="84"/>
      <c r="C85" s="22" t="s">
        <v>1031</v>
      </c>
      <c r="D85" s="14">
        <v>45</v>
      </c>
      <c r="E85" s="14">
        <v>11</v>
      </c>
    </row>
    <row r="86" spans="1:5">
      <c r="A86" s="22" t="s">
        <v>61</v>
      </c>
      <c r="B86" s="84"/>
      <c r="C86" s="22" t="s">
        <v>1032</v>
      </c>
      <c r="D86" s="14">
        <v>120</v>
      </c>
      <c r="E86" s="14">
        <v>44</v>
      </c>
    </row>
    <row r="87" spans="1:5">
      <c r="A87" s="22" t="s">
        <v>61</v>
      </c>
      <c r="B87" s="84"/>
      <c r="C87" s="22" t="s">
        <v>1033</v>
      </c>
      <c r="D87" s="14">
        <v>40</v>
      </c>
      <c r="E87" s="14">
        <v>30</v>
      </c>
    </row>
    <row r="88" spans="1:5">
      <c r="A88" s="22" t="s">
        <v>61</v>
      </c>
      <c r="B88" s="84" t="s">
        <v>1034</v>
      </c>
      <c r="C88" s="22" t="s">
        <v>1035</v>
      </c>
      <c r="D88" s="14">
        <v>70</v>
      </c>
      <c r="E88" s="14">
        <v>28</v>
      </c>
    </row>
    <row r="89" spans="1:5">
      <c r="A89" s="22" t="s">
        <v>61</v>
      </c>
      <c r="B89" s="84"/>
      <c r="C89" s="22" t="s">
        <v>1036</v>
      </c>
      <c r="D89" s="14">
        <v>90</v>
      </c>
      <c r="E89" s="14">
        <v>62</v>
      </c>
    </row>
    <row r="90" spans="1:5">
      <c r="A90" s="22" t="s">
        <v>61</v>
      </c>
      <c r="B90" s="84"/>
      <c r="C90" s="22" t="s">
        <v>1037</v>
      </c>
      <c r="D90" s="14">
        <v>80</v>
      </c>
      <c r="E90" s="14">
        <v>29</v>
      </c>
    </row>
    <row r="91" spans="1:5">
      <c r="A91" s="22" t="s">
        <v>61</v>
      </c>
      <c r="B91" s="84"/>
      <c r="C91" s="22" t="s">
        <v>1038</v>
      </c>
      <c r="D91" s="14">
        <v>150</v>
      </c>
      <c r="E91" s="14">
        <v>26</v>
      </c>
    </row>
    <row r="92" spans="1:5">
      <c r="A92" s="22" t="s">
        <v>61</v>
      </c>
      <c r="B92" s="84"/>
      <c r="C92" s="22" t="s">
        <v>1039</v>
      </c>
      <c r="D92" s="14">
        <v>90</v>
      </c>
      <c r="E92" s="14">
        <v>33</v>
      </c>
    </row>
    <row r="93" spans="1:5">
      <c r="A93" s="22" t="s">
        <v>61</v>
      </c>
      <c r="B93" s="84"/>
      <c r="C93" s="22" t="s">
        <v>1040</v>
      </c>
      <c r="D93" s="14">
        <v>100</v>
      </c>
      <c r="E93" s="14">
        <v>34</v>
      </c>
    </row>
    <row r="94" spans="1:5">
      <c r="A94" s="22" t="s">
        <v>61</v>
      </c>
      <c r="B94" s="84"/>
      <c r="C94" s="22" t="s">
        <v>1041</v>
      </c>
      <c r="D94" s="14">
        <v>50</v>
      </c>
      <c r="E94" s="14">
        <v>15</v>
      </c>
    </row>
    <row r="95" spans="1:5">
      <c r="A95" s="22" t="s">
        <v>61</v>
      </c>
      <c r="B95" s="84"/>
      <c r="C95" s="22" t="s">
        <v>1042</v>
      </c>
      <c r="D95" s="14">
        <v>120</v>
      </c>
      <c r="E95" s="14">
        <v>44</v>
      </c>
    </row>
    <row r="96" spans="1:5">
      <c r="A96" s="22" t="s">
        <v>61</v>
      </c>
      <c r="B96" s="84"/>
      <c r="C96" s="22" t="s">
        <v>62</v>
      </c>
      <c r="D96" s="14">
        <v>100</v>
      </c>
      <c r="E96" s="14">
        <v>76</v>
      </c>
    </row>
    <row r="97" spans="1:5">
      <c r="A97" s="22" t="s">
        <v>61</v>
      </c>
      <c r="B97" s="84"/>
      <c r="C97" s="22" t="s">
        <v>1043</v>
      </c>
      <c r="D97" s="14">
        <v>80</v>
      </c>
      <c r="E97" s="14">
        <v>17</v>
      </c>
    </row>
    <row r="98" spans="1:5">
      <c r="A98" s="22" t="s">
        <v>61</v>
      </c>
      <c r="B98" s="84" t="s">
        <v>1044</v>
      </c>
      <c r="C98" s="22" t="s">
        <v>426</v>
      </c>
      <c r="D98" s="14">
        <v>70</v>
      </c>
      <c r="E98" s="14">
        <v>32</v>
      </c>
    </row>
    <row r="99" spans="1:5">
      <c r="A99" s="22" t="s">
        <v>61</v>
      </c>
      <c r="B99" s="84"/>
      <c r="C99" s="22" t="s">
        <v>1045</v>
      </c>
      <c r="D99" s="14">
        <v>80</v>
      </c>
      <c r="E99" s="14">
        <v>34</v>
      </c>
    </row>
    <row r="100" spans="1:5">
      <c r="A100" s="22" t="s">
        <v>61</v>
      </c>
      <c r="B100" s="22" t="s">
        <v>1046</v>
      </c>
      <c r="C100" s="22" t="s">
        <v>1047</v>
      </c>
      <c r="D100" s="14">
        <v>60</v>
      </c>
      <c r="E100" s="14">
        <v>53</v>
      </c>
    </row>
    <row r="101" spans="1:5">
      <c r="A101" s="22" t="s">
        <v>61</v>
      </c>
      <c r="B101" s="22" t="s">
        <v>1048</v>
      </c>
      <c r="C101" s="22" t="s">
        <v>1049</v>
      </c>
      <c r="D101" s="14">
        <v>74</v>
      </c>
      <c r="E101" s="14">
        <v>31</v>
      </c>
    </row>
    <row r="102" spans="1:5">
      <c r="A102" s="22" t="s">
        <v>61</v>
      </c>
      <c r="B102" s="22" t="s">
        <v>61</v>
      </c>
      <c r="C102" s="22" t="s">
        <v>1050</v>
      </c>
      <c r="D102" s="14">
        <v>150</v>
      </c>
      <c r="E102" s="14">
        <v>95</v>
      </c>
    </row>
    <row r="103" spans="1:5">
      <c r="A103" s="22" t="s">
        <v>61</v>
      </c>
      <c r="B103" s="84" t="s">
        <v>1051</v>
      </c>
      <c r="C103" s="22" t="s">
        <v>1052</v>
      </c>
      <c r="D103" s="14">
        <v>60</v>
      </c>
      <c r="E103" s="14">
        <v>83</v>
      </c>
    </row>
    <row r="104" spans="1:5">
      <c r="A104" s="22" t="s">
        <v>61</v>
      </c>
      <c r="B104" s="84"/>
      <c r="C104" s="22" t="s">
        <v>1053</v>
      </c>
      <c r="D104" s="14">
        <v>45</v>
      </c>
      <c r="E104" s="14">
        <v>11</v>
      </c>
    </row>
    <row r="105" spans="1:5">
      <c r="A105" s="22" t="s">
        <v>61</v>
      </c>
      <c r="B105" s="84"/>
      <c r="C105" s="22" t="s">
        <v>63</v>
      </c>
      <c r="D105" s="14">
        <v>41</v>
      </c>
      <c r="E105" s="14">
        <v>33</v>
      </c>
    </row>
    <row r="106" spans="1:5" ht="15.75" customHeight="1">
      <c r="A106" s="22" t="s">
        <v>61</v>
      </c>
      <c r="B106" s="84" t="s">
        <v>61</v>
      </c>
      <c r="C106" s="22" t="s">
        <v>1055</v>
      </c>
      <c r="D106" s="14">
        <v>1000</v>
      </c>
      <c r="E106" s="14">
        <v>300</v>
      </c>
    </row>
    <row r="107" spans="1:5" ht="15.75" customHeight="1">
      <c r="A107" s="22" t="s">
        <v>61</v>
      </c>
      <c r="B107" s="84"/>
      <c r="C107" s="22" t="s">
        <v>1056</v>
      </c>
      <c r="D107" s="14">
        <v>750</v>
      </c>
      <c r="E107" s="14">
        <v>143</v>
      </c>
    </row>
    <row r="108" spans="1:5" ht="15.75" customHeight="1">
      <c r="A108" s="22" t="s">
        <v>61</v>
      </c>
      <c r="B108" s="84"/>
      <c r="C108" s="22" t="s">
        <v>194</v>
      </c>
      <c r="D108" s="14">
        <v>1425</v>
      </c>
      <c r="E108" s="14">
        <v>251</v>
      </c>
    </row>
    <row r="109" spans="1:5" ht="15.75" customHeight="1">
      <c r="A109" s="22" t="s">
        <v>61</v>
      </c>
      <c r="B109" s="84"/>
      <c r="C109" s="22" t="s">
        <v>347</v>
      </c>
      <c r="D109" s="14">
        <v>700</v>
      </c>
      <c r="E109" s="14">
        <v>120</v>
      </c>
    </row>
    <row r="110" spans="1:5" ht="15.75" customHeight="1">
      <c r="A110" s="22" t="s">
        <v>61</v>
      </c>
      <c r="B110" s="84"/>
      <c r="C110" s="22" t="s">
        <v>1057</v>
      </c>
      <c r="D110" s="14">
        <v>1500</v>
      </c>
      <c r="E110" s="14">
        <v>199</v>
      </c>
    </row>
    <row r="111" spans="1:5" ht="15.75" customHeight="1">
      <c r="A111" s="22" t="s">
        <v>61</v>
      </c>
      <c r="B111" s="84"/>
      <c r="C111" s="22" t="s">
        <v>1058</v>
      </c>
      <c r="D111" s="14">
        <v>1200</v>
      </c>
      <c r="E111" s="14">
        <v>244</v>
      </c>
    </row>
    <row r="112" spans="1:5" ht="15.75" customHeight="1">
      <c r="A112" s="22" t="s">
        <v>61</v>
      </c>
      <c r="B112" s="84"/>
      <c r="C112" s="22" t="s">
        <v>1059</v>
      </c>
      <c r="D112" s="14">
        <v>1050</v>
      </c>
      <c r="E112" s="14">
        <v>264</v>
      </c>
    </row>
    <row r="113" spans="1:5" ht="15.75" customHeight="1">
      <c r="A113" s="22" t="s">
        <v>61</v>
      </c>
      <c r="B113" s="84"/>
      <c r="C113" s="22" t="s">
        <v>1060</v>
      </c>
      <c r="D113" s="14">
        <v>850</v>
      </c>
      <c r="E113" s="14">
        <v>171</v>
      </c>
    </row>
    <row r="114" spans="1:5" ht="16.5" customHeight="1">
      <c r="A114" s="22" t="s">
        <v>61</v>
      </c>
      <c r="B114" s="84"/>
      <c r="C114" s="22" t="s">
        <v>1061</v>
      </c>
      <c r="D114" s="14">
        <v>700</v>
      </c>
      <c r="E114" s="14">
        <v>115</v>
      </c>
    </row>
    <row r="115" spans="1:5" ht="15.75" customHeight="1">
      <c r="A115" s="22" t="s">
        <v>61</v>
      </c>
      <c r="B115" s="84" t="s">
        <v>1044</v>
      </c>
      <c r="C115" s="22" t="s">
        <v>1062</v>
      </c>
      <c r="D115" s="14">
        <v>1510</v>
      </c>
      <c r="E115" s="14">
        <v>96</v>
      </c>
    </row>
    <row r="116" spans="1:5" ht="15.75" customHeight="1">
      <c r="A116" s="22" t="s">
        <v>61</v>
      </c>
      <c r="B116" s="84"/>
      <c r="C116" s="22" t="s">
        <v>1063</v>
      </c>
      <c r="D116" s="14">
        <v>850</v>
      </c>
      <c r="E116" s="14">
        <v>189</v>
      </c>
    </row>
    <row r="117" spans="1:5" ht="15.75" customHeight="1">
      <c r="A117" s="22" t="s">
        <v>61</v>
      </c>
      <c r="B117" s="84"/>
      <c r="C117" s="22" t="s">
        <v>1064</v>
      </c>
      <c r="D117" s="14">
        <v>720</v>
      </c>
      <c r="E117" s="14">
        <v>92</v>
      </c>
    </row>
    <row r="118" spans="1:5" ht="15.75" customHeight="1">
      <c r="A118" s="22" t="s">
        <v>61</v>
      </c>
      <c r="B118" s="84"/>
      <c r="C118" s="22" t="s">
        <v>1065</v>
      </c>
      <c r="D118" s="14">
        <v>905</v>
      </c>
      <c r="E118" s="14">
        <v>120</v>
      </c>
    </row>
    <row r="119" spans="1:5" ht="16.5" customHeight="1">
      <c r="A119" s="22" t="s">
        <v>61</v>
      </c>
      <c r="B119" s="84"/>
      <c r="C119" s="22" t="s">
        <v>1066</v>
      </c>
      <c r="D119" s="14">
        <v>178</v>
      </c>
      <c r="E119" s="14">
        <v>34</v>
      </c>
    </row>
    <row r="120" spans="1:5" ht="15.75" customHeight="1">
      <c r="A120" s="22" t="s">
        <v>61</v>
      </c>
      <c r="B120" s="84" t="s">
        <v>1054</v>
      </c>
      <c r="C120" s="22" t="s">
        <v>1067</v>
      </c>
      <c r="D120" s="14">
        <v>570</v>
      </c>
      <c r="E120" s="14">
        <v>58</v>
      </c>
    </row>
    <row r="121" spans="1:5" ht="15.75" customHeight="1">
      <c r="A121" s="22" t="s">
        <v>61</v>
      </c>
      <c r="B121" s="84"/>
      <c r="C121" s="22" t="s">
        <v>1068</v>
      </c>
      <c r="D121" s="14">
        <v>600</v>
      </c>
      <c r="E121" s="14">
        <v>72</v>
      </c>
    </row>
    <row r="122" spans="1:5" ht="15.75" customHeight="1">
      <c r="A122" s="22" t="s">
        <v>61</v>
      </c>
      <c r="B122" s="84"/>
      <c r="C122" s="22" t="s">
        <v>1069</v>
      </c>
      <c r="D122" s="14">
        <v>1130</v>
      </c>
      <c r="E122" s="14">
        <v>99</v>
      </c>
    </row>
    <row r="123" spans="1:5" ht="15.75" customHeight="1">
      <c r="A123" s="22" t="s">
        <v>61</v>
      </c>
      <c r="B123" s="84"/>
      <c r="C123" s="22" t="s">
        <v>1070</v>
      </c>
      <c r="D123" s="14">
        <v>1130</v>
      </c>
      <c r="E123" s="14">
        <v>130</v>
      </c>
    </row>
    <row r="124" spans="1:5" ht="15.75" customHeight="1">
      <c r="A124" s="22" t="s">
        <v>61</v>
      </c>
      <c r="B124" s="84"/>
      <c r="C124" s="22" t="s">
        <v>1071</v>
      </c>
      <c r="D124" s="14">
        <v>685</v>
      </c>
      <c r="E124" s="14">
        <v>80</v>
      </c>
    </row>
    <row r="125" spans="1:5" ht="16.5" customHeight="1">
      <c r="A125" s="22" t="s">
        <v>61</v>
      </c>
      <c r="B125" s="84"/>
      <c r="C125" s="22" t="s">
        <v>1072</v>
      </c>
      <c r="D125" s="14">
        <v>1190</v>
      </c>
      <c r="E125" s="14">
        <v>100</v>
      </c>
    </row>
    <row r="126" spans="1:5" ht="15.75" customHeight="1">
      <c r="A126" s="22" t="s">
        <v>61</v>
      </c>
      <c r="B126" s="84" t="s">
        <v>1054</v>
      </c>
      <c r="C126" s="22" t="s">
        <v>1073</v>
      </c>
      <c r="D126" s="14">
        <v>900</v>
      </c>
      <c r="E126" s="14">
        <v>94</v>
      </c>
    </row>
    <row r="127" spans="1:5" ht="15.75" customHeight="1">
      <c r="A127" s="22" t="s">
        <v>61</v>
      </c>
      <c r="B127" s="84"/>
      <c r="C127" s="22" t="s">
        <v>427</v>
      </c>
      <c r="D127" s="14">
        <v>1845</v>
      </c>
      <c r="E127" s="14">
        <v>23</v>
      </c>
    </row>
    <row r="128" spans="1:5" ht="15.75" customHeight="1">
      <c r="A128" s="22" t="s">
        <v>61</v>
      </c>
      <c r="B128" s="84"/>
      <c r="C128" s="22" t="s">
        <v>1074</v>
      </c>
      <c r="D128" s="14">
        <v>2490</v>
      </c>
      <c r="E128" s="14">
        <v>115</v>
      </c>
    </row>
    <row r="129" spans="1:5" ht="16.5" customHeight="1">
      <c r="A129" s="22" t="s">
        <v>61</v>
      </c>
      <c r="B129" s="84"/>
      <c r="C129" s="22" t="s">
        <v>1075</v>
      </c>
      <c r="D129" s="14">
        <v>660</v>
      </c>
      <c r="E129" s="14">
        <v>83</v>
      </c>
    </row>
    <row r="130" spans="1:5" ht="16.5" customHeight="1">
      <c r="A130" s="22" t="s">
        <v>61</v>
      </c>
      <c r="B130" s="22" t="s">
        <v>1048</v>
      </c>
      <c r="C130" s="22" t="s">
        <v>1076</v>
      </c>
      <c r="D130" s="14">
        <v>800</v>
      </c>
      <c r="E130" s="14">
        <v>168</v>
      </c>
    </row>
    <row r="131" spans="1:5" ht="16.5" customHeight="1">
      <c r="A131" s="22" t="s">
        <v>61</v>
      </c>
      <c r="B131" s="22" t="s">
        <v>1051</v>
      </c>
      <c r="C131" s="22" t="s">
        <v>1077</v>
      </c>
      <c r="D131" s="14">
        <v>1300</v>
      </c>
      <c r="E131" s="14">
        <v>430</v>
      </c>
    </row>
    <row r="132" spans="1:5">
      <c r="A132" s="22" t="s">
        <v>186</v>
      </c>
      <c r="B132" s="33" t="s">
        <v>1231</v>
      </c>
      <c r="C132" s="46" t="s">
        <v>64</v>
      </c>
      <c r="D132" s="41">
        <v>114.1994</v>
      </c>
      <c r="E132" s="28">
        <v>374</v>
      </c>
    </row>
    <row r="133" spans="1:5">
      <c r="A133" s="22" t="s">
        <v>186</v>
      </c>
      <c r="B133" s="33" t="s">
        <v>1231</v>
      </c>
      <c r="C133" s="46" t="s">
        <v>65</v>
      </c>
      <c r="D133" s="41">
        <v>139.8297</v>
      </c>
      <c r="E133" s="28">
        <v>357</v>
      </c>
    </row>
    <row r="134" spans="1:5">
      <c r="A134" s="22" t="s">
        <v>186</v>
      </c>
      <c r="B134" s="33" t="s">
        <v>1231</v>
      </c>
      <c r="C134" s="46" t="s">
        <v>66</v>
      </c>
      <c r="D134" s="41">
        <v>168.1138</v>
      </c>
      <c r="E134" s="28">
        <v>508</v>
      </c>
    </row>
    <row r="135" spans="1:5">
      <c r="A135" s="22" t="s">
        <v>186</v>
      </c>
      <c r="B135" s="33" t="s">
        <v>1231</v>
      </c>
      <c r="C135" s="46" t="s">
        <v>67</v>
      </c>
      <c r="D135" s="41">
        <v>152.0265</v>
      </c>
      <c r="E135" s="28">
        <v>531</v>
      </c>
    </row>
    <row r="136" spans="1:5">
      <c r="A136" s="22" t="s">
        <v>186</v>
      </c>
      <c r="B136" s="33" t="s">
        <v>1231</v>
      </c>
      <c r="C136" s="46" t="s">
        <v>68</v>
      </c>
      <c r="D136" s="41">
        <v>100.4532</v>
      </c>
      <c r="E136" s="28">
        <v>332</v>
      </c>
    </row>
    <row r="137" spans="1:5">
      <c r="A137" s="22" t="s">
        <v>186</v>
      </c>
      <c r="B137" s="33" t="s">
        <v>1231</v>
      </c>
      <c r="C137" s="46" t="s">
        <v>69</v>
      </c>
      <c r="D137" s="41">
        <v>57.708500000000001</v>
      </c>
      <c r="E137" s="28">
        <v>197</v>
      </c>
    </row>
    <row r="138" spans="1:5">
      <c r="A138" s="22" t="s">
        <v>186</v>
      </c>
      <c r="B138" s="33" t="s">
        <v>1231</v>
      </c>
      <c r="C138" s="46" t="s">
        <v>70</v>
      </c>
      <c r="D138" s="41">
        <v>15.251799999999999</v>
      </c>
      <c r="E138" s="28">
        <v>38</v>
      </c>
    </row>
    <row r="139" spans="1:5">
      <c r="A139" s="22" t="s">
        <v>186</v>
      </c>
      <c r="B139" s="33" t="s">
        <v>1231</v>
      </c>
      <c r="C139" s="46" t="s">
        <v>1242</v>
      </c>
      <c r="D139" s="41">
        <v>35.181100000000001</v>
      </c>
      <c r="E139" s="28">
        <v>38</v>
      </c>
    </row>
    <row r="140" spans="1:5">
      <c r="A140" s="22" t="s">
        <v>186</v>
      </c>
      <c r="B140" s="33" t="s">
        <v>1231</v>
      </c>
      <c r="C140" s="46" t="s">
        <v>71</v>
      </c>
      <c r="D140" s="41">
        <v>27.4878</v>
      </c>
      <c r="E140" s="28">
        <v>62</v>
      </c>
    </row>
    <row r="141" spans="1:5">
      <c r="A141" s="22" t="s">
        <v>186</v>
      </c>
      <c r="B141" s="33" t="s">
        <v>1231</v>
      </c>
      <c r="C141" s="46" t="s">
        <v>72</v>
      </c>
      <c r="D141" s="41">
        <v>32.095599999999997</v>
      </c>
      <c r="E141" s="28">
        <v>61</v>
      </c>
    </row>
    <row r="142" spans="1:5">
      <c r="A142" s="22" t="s">
        <v>186</v>
      </c>
      <c r="B142" s="33" t="s">
        <v>1231</v>
      </c>
      <c r="C142" s="46" t="s">
        <v>1243</v>
      </c>
      <c r="D142" s="41">
        <v>40</v>
      </c>
      <c r="E142" s="28">
        <v>72</v>
      </c>
    </row>
    <row r="143" spans="1:5">
      <c r="A143" s="22" t="s">
        <v>186</v>
      </c>
      <c r="B143" s="33" t="s">
        <v>1231</v>
      </c>
      <c r="C143" s="46" t="s">
        <v>73</v>
      </c>
      <c r="D143" s="41">
        <v>58.516599999999997</v>
      </c>
      <c r="E143" s="28">
        <v>197</v>
      </c>
    </row>
    <row r="144" spans="1:5">
      <c r="A144" s="22" t="s">
        <v>186</v>
      </c>
      <c r="B144" s="33" t="s">
        <v>1231</v>
      </c>
      <c r="C144" s="46" t="s">
        <v>74</v>
      </c>
      <c r="D144" s="41">
        <v>59</v>
      </c>
      <c r="E144" s="28">
        <v>91</v>
      </c>
    </row>
    <row r="145" spans="1:5">
      <c r="A145" s="22" t="s">
        <v>186</v>
      </c>
      <c r="B145" s="33" t="s">
        <v>1231</v>
      </c>
      <c r="C145" s="46" t="s">
        <v>75</v>
      </c>
      <c r="D145" s="41">
        <v>92.738799999999998</v>
      </c>
      <c r="E145" s="28">
        <v>174</v>
      </c>
    </row>
    <row r="146" spans="1:5">
      <c r="A146" s="22" t="s">
        <v>186</v>
      </c>
      <c r="B146" s="33" t="s">
        <v>1231</v>
      </c>
      <c r="C146" s="46" t="s">
        <v>76</v>
      </c>
      <c r="D146" s="41">
        <v>192.18989999999999</v>
      </c>
      <c r="E146" s="28">
        <v>547</v>
      </c>
    </row>
    <row r="147" spans="1:5">
      <c r="A147" s="22" t="s">
        <v>186</v>
      </c>
      <c r="B147" s="33" t="s">
        <v>1231</v>
      </c>
      <c r="C147" s="46" t="s">
        <v>77</v>
      </c>
      <c r="D147" s="41">
        <v>19.895</v>
      </c>
      <c r="E147" s="28">
        <v>26</v>
      </c>
    </row>
    <row r="148" spans="1:5">
      <c r="A148" s="22" t="s">
        <v>186</v>
      </c>
      <c r="B148" s="33" t="s">
        <v>1231</v>
      </c>
      <c r="C148" s="46" t="s">
        <v>78</v>
      </c>
      <c r="D148" s="41">
        <v>65</v>
      </c>
      <c r="E148" s="41">
        <v>83</v>
      </c>
    </row>
    <row r="149" spans="1:5">
      <c r="A149" s="22" t="s">
        <v>186</v>
      </c>
      <c r="B149" s="33" t="s">
        <v>1231</v>
      </c>
      <c r="C149" s="46" t="s">
        <v>79</v>
      </c>
      <c r="D149" s="41">
        <v>35.057499999999997</v>
      </c>
      <c r="E149" s="41">
        <v>39</v>
      </c>
    </row>
    <row r="150" spans="1:5">
      <c r="A150" s="22" t="s">
        <v>186</v>
      </c>
      <c r="B150" s="33" t="s">
        <v>1231</v>
      </c>
      <c r="C150" s="46" t="s">
        <v>80</v>
      </c>
      <c r="D150" s="41">
        <v>8.4</v>
      </c>
      <c r="E150" s="41">
        <v>21</v>
      </c>
    </row>
    <row r="151" spans="1:5">
      <c r="A151" s="22" t="s">
        <v>186</v>
      </c>
      <c r="B151" s="33" t="s">
        <v>1231</v>
      </c>
      <c r="C151" s="46" t="s">
        <v>81</v>
      </c>
      <c r="D151" s="41">
        <v>33.700000000000003</v>
      </c>
      <c r="E151" s="41">
        <v>70</v>
      </c>
    </row>
    <row r="152" spans="1:5">
      <c r="A152" s="22" t="s">
        <v>186</v>
      </c>
      <c r="B152" s="33" t="s">
        <v>1231</v>
      </c>
      <c r="C152" s="46" t="s">
        <v>82</v>
      </c>
      <c r="D152" s="41">
        <v>26</v>
      </c>
      <c r="E152" s="41">
        <v>71</v>
      </c>
    </row>
    <row r="153" spans="1:5">
      <c r="A153" s="22" t="s">
        <v>186</v>
      </c>
      <c r="B153" s="33" t="s">
        <v>1231</v>
      </c>
      <c r="C153" s="49" t="s">
        <v>83</v>
      </c>
      <c r="D153" s="42">
        <v>17.32</v>
      </c>
      <c r="E153" s="42">
        <v>30</v>
      </c>
    </row>
    <row r="154" spans="1:5">
      <c r="A154" s="22" t="s">
        <v>186</v>
      </c>
      <c r="B154" s="33" t="s">
        <v>1231</v>
      </c>
      <c r="C154" s="49" t="s">
        <v>84</v>
      </c>
      <c r="D154" s="42">
        <v>112.96729999999999</v>
      </c>
      <c r="E154" s="42">
        <v>279</v>
      </c>
    </row>
    <row r="155" spans="1:5">
      <c r="A155" s="22" t="s">
        <v>186</v>
      </c>
      <c r="B155" s="33" t="s">
        <v>1231</v>
      </c>
      <c r="C155" s="49" t="s">
        <v>85</v>
      </c>
      <c r="D155" s="42">
        <v>69.450400000000002</v>
      </c>
      <c r="E155" s="42">
        <v>303</v>
      </c>
    </row>
    <row r="156" spans="1:5">
      <c r="A156" s="22" t="s">
        <v>186</v>
      </c>
      <c r="B156" s="33" t="s">
        <v>1231</v>
      </c>
      <c r="C156" s="46" t="s">
        <v>86</v>
      </c>
      <c r="D156" s="42">
        <v>12.218</v>
      </c>
      <c r="E156" s="42">
        <v>35</v>
      </c>
    </row>
    <row r="157" spans="1:5">
      <c r="A157" s="22" t="s">
        <v>186</v>
      </c>
      <c r="B157" s="31" t="s">
        <v>1232</v>
      </c>
      <c r="C157" s="46" t="s">
        <v>87</v>
      </c>
      <c r="D157" s="41">
        <v>95.459900000000005</v>
      </c>
      <c r="E157" s="28">
        <v>269</v>
      </c>
    </row>
    <row r="158" spans="1:5">
      <c r="A158" s="22" t="s">
        <v>186</v>
      </c>
      <c r="B158" s="31" t="s">
        <v>1232</v>
      </c>
      <c r="C158" s="50" t="s">
        <v>1233</v>
      </c>
      <c r="D158" s="41">
        <v>18.489799999999999</v>
      </c>
      <c r="E158" s="28">
        <v>50</v>
      </c>
    </row>
    <row r="159" spans="1:5">
      <c r="A159" s="22" t="s">
        <v>186</v>
      </c>
      <c r="B159" s="31" t="s">
        <v>1232</v>
      </c>
      <c r="C159" s="46" t="s">
        <v>88</v>
      </c>
      <c r="D159" s="41">
        <v>92</v>
      </c>
      <c r="E159" s="28">
        <v>234</v>
      </c>
    </row>
    <row r="160" spans="1:5">
      <c r="A160" s="22" t="s">
        <v>186</v>
      </c>
      <c r="B160" s="31" t="s">
        <v>1232</v>
      </c>
      <c r="C160" s="46" t="s">
        <v>1244</v>
      </c>
      <c r="D160" s="41">
        <v>80.693799999999996</v>
      </c>
      <c r="E160" s="28">
        <v>208</v>
      </c>
    </row>
    <row r="161" spans="1:5">
      <c r="A161" s="22" t="s">
        <v>186</v>
      </c>
      <c r="B161" s="31" t="s">
        <v>1232</v>
      </c>
      <c r="C161" s="46" t="s">
        <v>89</v>
      </c>
      <c r="D161" s="41">
        <v>60.522399999999998</v>
      </c>
      <c r="E161" s="28">
        <v>287</v>
      </c>
    </row>
    <row r="162" spans="1:5">
      <c r="A162" s="22" t="s">
        <v>186</v>
      </c>
      <c r="B162" s="31" t="s">
        <v>1232</v>
      </c>
      <c r="C162" s="46" t="s">
        <v>1245</v>
      </c>
      <c r="D162" s="41">
        <v>102.8395</v>
      </c>
      <c r="E162" s="28">
        <v>308</v>
      </c>
    </row>
    <row r="163" spans="1:5">
      <c r="A163" s="22" t="s">
        <v>186</v>
      </c>
      <c r="B163" s="31" t="s">
        <v>1232</v>
      </c>
      <c r="C163" s="46" t="s">
        <v>90</v>
      </c>
      <c r="D163" s="41">
        <v>42.24</v>
      </c>
      <c r="E163" s="28">
        <v>162</v>
      </c>
    </row>
    <row r="164" spans="1:5">
      <c r="A164" s="22" t="s">
        <v>186</v>
      </c>
      <c r="B164" s="31" t="s">
        <v>1232</v>
      </c>
      <c r="C164" s="46" t="s">
        <v>91</v>
      </c>
      <c r="D164" s="41">
        <v>129.64240000000001</v>
      </c>
      <c r="E164" s="28">
        <v>381</v>
      </c>
    </row>
    <row r="165" spans="1:5">
      <c r="A165" s="22" t="s">
        <v>186</v>
      </c>
      <c r="B165" s="31" t="s">
        <v>1232</v>
      </c>
      <c r="C165" s="46" t="s">
        <v>92</v>
      </c>
      <c r="D165" s="41">
        <v>224.25</v>
      </c>
      <c r="E165" s="28">
        <v>357</v>
      </c>
    </row>
    <row r="166" spans="1:5">
      <c r="A166" s="22" t="s">
        <v>186</v>
      </c>
      <c r="B166" s="31" t="s">
        <v>1232</v>
      </c>
      <c r="C166" s="46" t="s">
        <v>93</v>
      </c>
      <c r="D166" s="41">
        <v>81.645700000000005</v>
      </c>
      <c r="E166" s="28">
        <v>231</v>
      </c>
    </row>
    <row r="167" spans="1:5">
      <c r="A167" s="22" t="s">
        <v>186</v>
      </c>
      <c r="B167" s="31" t="s">
        <v>1232</v>
      </c>
      <c r="C167" s="46" t="s">
        <v>94</v>
      </c>
      <c r="D167" s="41">
        <v>59.359200000000001</v>
      </c>
      <c r="E167" s="28">
        <v>126</v>
      </c>
    </row>
    <row r="168" spans="1:5">
      <c r="A168" s="22" t="s">
        <v>186</v>
      </c>
      <c r="B168" s="31" t="s">
        <v>1232</v>
      </c>
      <c r="C168" s="46" t="s">
        <v>95</v>
      </c>
      <c r="D168" s="41">
        <v>70.455799999999996</v>
      </c>
      <c r="E168" s="28">
        <v>209</v>
      </c>
    </row>
    <row r="169" spans="1:5">
      <c r="A169" s="22" t="s">
        <v>186</v>
      </c>
      <c r="B169" s="31" t="s">
        <v>1232</v>
      </c>
      <c r="C169" s="46" t="s">
        <v>96</v>
      </c>
      <c r="D169" s="41">
        <v>80.815799999999996</v>
      </c>
      <c r="E169" s="28">
        <v>402</v>
      </c>
    </row>
    <row r="170" spans="1:5">
      <c r="A170" s="22" t="s">
        <v>186</v>
      </c>
      <c r="B170" s="31" t="s">
        <v>1232</v>
      </c>
      <c r="C170" s="46" t="s">
        <v>97</v>
      </c>
      <c r="D170" s="41">
        <v>152.42500000000001</v>
      </c>
      <c r="E170" s="28">
        <v>583</v>
      </c>
    </row>
    <row r="171" spans="1:5">
      <c r="A171" s="22" t="s">
        <v>186</v>
      </c>
      <c r="B171" s="31" t="s">
        <v>1232</v>
      </c>
      <c r="C171" s="46" t="s">
        <v>98</v>
      </c>
      <c r="D171" s="41">
        <v>93</v>
      </c>
      <c r="E171" s="28">
        <v>138</v>
      </c>
    </row>
    <row r="172" spans="1:5">
      <c r="A172" s="22" t="s">
        <v>186</v>
      </c>
      <c r="B172" s="31" t="s">
        <v>1232</v>
      </c>
      <c r="C172" s="46" t="s">
        <v>99</v>
      </c>
      <c r="D172" s="41">
        <v>80</v>
      </c>
      <c r="E172" s="28">
        <v>124</v>
      </c>
    </row>
    <row r="173" spans="1:5">
      <c r="A173" s="22" t="s">
        <v>186</v>
      </c>
      <c r="B173" s="31" t="s">
        <v>1232</v>
      </c>
      <c r="C173" s="46" t="s">
        <v>100</v>
      </c>
      <c r="D173" s="41">
        <v>94.484999999999999</v>
      </c>
      <c r="E173" s="28">
        <v>236</v>
      </c>
    </row>
    <row r="174" spans="1:5">
      <c r="A174" s="22" t="s">
        <v>186</v>
      </c>
      <c r="B174" s="31" t="s">
        <v>1232</v>
      </c>
      <c r="C174" s="46" t="s">
        <v>101</v>
      </c>
      <c r="D174" s="41">
        <v>118.28149999999999</v>
      </c>
      <c r="E174" s="28">
        <v>626</v>
      </c>
    </row>
    <row r="175" spans="1:5">
      <c r="A175" s="22" t="s">
        <v>186</v>
      </c>
      <c r="B175" s="31" t="s">
        <v>1232</v>
      </c>
      <c r="C175" s="46" t="s">
        <v>102</v>
      </c>
      <c r="D175" s="41">
        <v>133.89590000000001</v>
      </c>
      <c r="E175" s="28">
        <v>401</v>
      </c>
    </row>
    <row r="176" spans="1:5">
      <c r="A176" s="22" t="s">
        <v>186</v>
      </c>
      <c r="B176" s="31" t="s">
        <v>1232</v>
      </c>
      <c r="C176" s="46" t="s">
        <v>1234</v>
      </c>
      <c r="D176" s="41">
        <v>174.5942</v>
      </c>
      <c r="E176" s="28">
        <v>608</v>
      </c>
    </row>
    <row r="177" spans="1:5">
      <c r="A177" s="22" t="s">
        <v>186</v>
      </c>
      <c r="B177" s="31" t="s">
        <v>1232</v>
      </c>
      <c r="C177" s="46" t="s">
        <v>103</v>
      </c>
      <c r="D177" s="41">
        <v>106.50700000000001</v>
      </c>
      <c r="E177" s="28">
        <v>264</v>
      </c>
    </row>
    <row r="178" spans="1:5">
      <c r="A178" s="22" t="s">
        <v>186</v>
      </c>
      <c r="B178" s="31" t="s">
        <v>1232</v>
      </c>
      <c r="C178" s="51" t="s">
        <v>1235</v>
      </c>
      <c r="D178" s="41">
        <v>30.5</v>
      </c>
      <c r="E178" s="28">
        <v>38</v>
      </c>
    </row>
    <row r="179" spans="1:5">
      <c r="A179" s="22" t="s">
        <v>186</v>
      </c>
      <c r="B179" s="31" t="s">
        <v>1232</v>
      </c>
      <c r="C179" s="46" t="s">
        <v>104</v>
      </c>
      <c r="D179" s="41">
        <v>11.5</v>
      </c>
      <c r="E179" s="28">
        <v>53</v>
      </c>
    </row>
    <row r="180" spans="1:5">
      <c r="A180" s="22" t="s">
        <v>186</v>
      </c>
      <c r="B180" s="31" t="s">
        <v>1232</v>
      </c>
      <c r="C180" s="46" t="s">
        <v>105</v>
      </c>
      <c r="D180" s="41">
        <v>31.470800000000001</v>
      </c>
      <c r="E180" s="28">
        <v>12</v>
      </c>
    </row>
    <row r="181" spans="1:5">
      <c r="A181" s="22" t="s">
        <v>186</v>
      </c>
      <c r="B181" s="31" t="s">
        <v>1232</v>
      </c>
      <c r="C181" s="50" t="s">
        <v>106</v>
      </c>
      <c r="D181" s="41">
        <v>61.980899999999998</v>
      </c>
      <c r="E181" s="28">
        <v>59</v>
      </c>
    </row>
    <row r="182" spans="1:5">
      <c r="A182" s="22" t="s">
        <v>186</v>
      </c>
      <c r="B182" s="31" t="s">
        <v>1232</v>
      </c>
      <c r="C182" s="52" t="s">
        <v>107</v>
      </c>
      <c r="D182" s="43">
        <v>36.026899999999998</v>
      </c>
      <c r="E182" s="28">
        <v>32</v>
      </c>
    </row>
    <row r="183" spans="1:5">
      <c r="A183" s="22" t="s">
        <v>186</v>
      </c>
      <c r="B183" s="31" t="s">
        <v>1232</v>
      </c>
      <c r="C183" s="46" t="s">
        <v>108</v>
      </c>
      <c r="D183" s="43">
        <v>97.249700000000004</v>
      </c>
      <c r="E183" s="28">
        <v>357</v>
      </c>
    </row>
    <row r="184" spans="1:5">
      <c r="A184" s="22" t="s">
        <v>186</v>
      </c>
      <c r="B184" s="31" t="s">
        <v>1232</v>
      </c>
      <c r="C184" s="46" t="s">
        <v>109</v>
      </c>
      <c r="D184" s="43">
        <v>41.065899999999999</v>
      </c>
      <c r="E184" s="28">
        <v>159</v>
      </c>
    </row>
    <row r="185" spans="1:5">
      <c r="A185" s="22" t="s">
        <v>186</v>
      </c>
      <c r="B185" s="31" t="s">
        <v>1236</v>
      </c>
      <c r="C185" s="46" t="s">
        <v>115</v>
      </c>
      <c r="D185" s="41">
        <v>100</v>
      </c>
      <c r="E185" s="28">
        <v>103</v>
      </c>
    </row>
    <row r="186" spans="1:5">
      <c r="A186" s="22" t="s">
        <v>186</v>
      </c>
      <c r="B186" s="31" t="s">
        <v>1236</v>
      </c>
      <c r="C186" s="46" t="s">
        <v>110</v>
      </c>
      <c r="D186" s="41">
        <v>45</v>
      </c>
      <c r="E186" s="28">
        <v>106</v>
      </c>
    </row>
    <row r="187" spans="1:5">
      <c r="A187" s="22" t="s">
        <v>186</v>
      </c>
      <c r="B187" s="31" t="s">
        <v>1236</v>
      </c>
      <c r="C187" s="46" t="s">
        <v>111</v>
      </c>
      <c r="D187" s="41">
        <v>81.25</v>
      </c>
      <c r="E187" s="28">
        <v>233</v>
      </c>
    </row>
    <row r="188" spans="1:5">
      <c r="A188" s="22" t="s">
        <v>186</v>
      </c>
      <c r="B188" s="31" t="s">
        <v>1236</v>
      </c>
      <c r="C188" s="46" t="s">
        <v>112</v>
      </c>
      <c r="D188" s="41">
        <v>64.354699999999994</v>
      </c>
      <c r="E188" s="28">
        <v>452</v>
      </c>
    </row>
    <row r="189" spans="1:5">
      <c r="A189" s="22" t="s">
        <v>186</v>
      </c>
      <c r="B189" s="31" t="s">
        <v>1236</v>
      </c>
      <c r="C189" s="46" t="s">
        <v>113</v>
      </c>
      <c r="D189" s="41">
        <v>75.625</v>
      </c>
      <c r="E189" s="28">
        <v>257</v>
      </c>
    </row>
    <row r="190" spans="1:5">
      <c r="A190" s="22" t="s">
        <v>186</v>
      </c>
      <c r="B190" s="31" t="s">
        <v>1236</v>
      </c>
      <c r="C190" s="46" t="s">
        <v>114</v>
      </c>
      <c r="D190" s="41">
        <v>110.6875</v>
      </c>
      <c r="E190" s="28">
        <v>423</v>
      </c>
    </row>
    <row r="191" spans="1:5">
      <c r="A191" s="22" t="s">
        <v>186</v>
      </c>
      <c r="B191" s="31" t="s">
        <v>1237</v>
      </c>
      <c r="C191" s="46" t="s">
        <v>116</v>
      </c>
      <c r="D191" s="41">
        <v>310.53640000000001</v>
      </c>
      <c r="E191" s="28">
        <v>1530</v>
      </c>
    </row>
    <row r="192" spans="1:5">
      <c r="A192" s="22" t="s">
        <v>186</v>
      </c>
      <c r="B192" s="31" t="s">
        <v>1237</v>
      </c>
      <c r="C192" s="46" t="s">
        <v>117</v>
      </c>
      <c r="D192" s="41">
        <v>97.085400000000007</v>
      </c>
      <c r="E192" s="28">
        <v>472</v>
      </c>
    </row>
    <row r="193" spans="1:5">
      <c r="A193" s="22" t="s">
        <v>186</v>
      </c>
      <c r="B193" s="31" t="s">
        <v>1237</v>
      </c>
      <c r="C193" s="46" t="s">
        <v>118</v>
      </c>
      <c r="D193" s="41">
        <v>22</v>
      </c>
      <c r="E193" s="28">
        <v>49</v>
      </c>
    </row>
    <row r="194" spans="1:5">
      <c r="A194" s="22" t="s">
        <v>186</v>
      </c>
      <c r="B194" s="31" t="s">
        <v>1237</v>
      </c>
      <c r="C194" s="46" t="s">
        <v>119</v>
      </c>
      <c r="D194" s="41">
        <v>75.099999999999994</v>
      </c>
      <c r="E194" s="28">
        <v>114</v>
      </c>
    </row>
    <row r="195" spans="1:5">
      <c r="A195" s="22" t="s">
        <v>186</v>
      </c>
      <c r="B195" s="31" t="s">
        <v>1237</v>
      </c>
      <c r="C195" s="46" t="s">
        <v>120</v>
      </c>
      <c r="D195" s="41">
        <v>78.528700000000001</v>
      </c>
      <c r="E195" s="28">
        <v>281</v>
      </c>
    </row>
    <row r="196" spans="1:5">
      <c r="A196" s="22" t="s">
        <v>186</v>
      </c>
      <c r="B196" s="31" t="s">
        <v>1237</v>
      </c>
      <c r="C196" s="46" t="s">
        <v>121</v>
      </c>
      <c r="D196" s="41">
        <v>81.25</v>
      </c>
      <c r="E196" s="28">
        <v>271</v>
      </c>
    </row>
    <row r="197" spans="1:5">
      <c r="A197" s="22" t="s">
        <v>186</v>
      </c>
      <c r="B197" s="31" t="s">
        <v>1237</v>
      </c>
      <c r="C197" s="46" t="s">
        <v>122</v>
      </c>
      <c r="D197" s="41">
        <v>91.404300000000006</v>
      </c>
      <c r="E197" s="28">
        <v>323</v>
      </c>
    </row>
    <row r="198" spans="1:5">
      <c r="A198" s="22" t="s">
        <v>186</v>
      </c>
      <c r="B198" s="31" t="s">
        <v>1237</v>
      </c>
      <c r="C198" s="46" t="s">
        <v>123</v>
      </c>
      <c r="D198" s="41">
        <v>100.5</v>
      </c>
      <c r="E198" s="28">
        <v>419</v>
      </c>
    </row>
    <row r="199" spans="1:5">
      <c r="A199" s="22" t="s">
        <v>186</v>
      </c>
      <c r="B199" s="31" t="s">
        <v>1237</v>
      </c>
      <c r="C199" s="46" t="s">
        <v>124</v>
      </c>
      <c r="D199" s="42">
        <v>86.5</v>
      </c>
      <c r="E199" s="44">
        <v>173</v>
      </c>
    </row>
    <row r="200" spans="1:5">
      <c r="A200" s="22" t="s">
        <v>186</v>
      </c>
      <c r="B200" s="31" t="s">
        <v>1237</v>
      </c>
      <c r="C200" s="46" t="s">
        <v>125</v>
      </c>
      <c r="D200" s="41">
        <v>47.32</v>
      </c>
      <c r="E200" s="28">
        <v>36</v>
      </c>
    </row>
    <row r="201" spans="1:5">
      <c r="A201" s="22" t="s">
        <v>186</v>
      </c>
      <c r="B201" s="31" t="s">
        <v>1238</v>
      </c>
      <c r="C201" s="46" t="s">
        <v>126</v>
      </c>
      <c r="D201" s="45">
        <v>127.5556</v>
      </c>
      <c r="E201" s="28">
        <v>435</v>
      </c>
    </row>
    <row r="202" spans="1:5">
      <c r="A202" s="22" t="s">
        <v>186</v>
      </c>
      <c r="B202" s="31" t="s">
        <v>1238</v>
      </c>
      <c r="C202" s="46" t="s">
        <v>127</v>
      </c>
      <c r="D202" s="41">
        <v>78.299800000000005</v>
      </c>
      <c r="E202" s="28">
        <v>285</v>
      </c>
    </row>
    <row r="203" spans="1:5">
      <c r="A203" s="22" t="s">
        <v>186</v>
      </c>
      <c r="B203" s="31" t="s">
        <v>1238</v>
      </c>
      <c r="C203" s="46" t="s">
        <v>128</v>
      </c>
      <c r="D203" s="41">
        <v>56.232300000000002</v>
      </c>
      <c r="E203" s="28">
        <v>183</v>
      </c>
    </row>
    <row r="204" spans="1:5">
      <c r="A204" s="22" t="s">
        <v>186</v>
      </c>
      <c r="B204" s="31" t="s">
        <v>1238</v>
      </c>
      <c r="C204" s="46" t="s">
        <v>129</v>
      </c>
      <c r="D204" s="41">
        <v>25.5</v>
      </c>
      <c r="E204" s="28">
        <v>51</v>
      </c>
    </row>
    <row r="205" spans="1:5">
      <c r="A205" s="22" t="s">
        <v>186</v>
      </c>
      <c r="B205" s="31" t="s">
        <v>1238</v>
      </c>
      <c r="C205" s="46" t="s">
        <v>130</v>
      </c>
      <c r="D205" s="41">
        <v>215.70869999999999</v>
      </c>
      <c r="E205" s="28">
        <v>451</v>
      </c>
    </row>
    <row r="206" spans="1:5">
      <c r="A206" s="22" t="s">
        <v>186</v>
      </c>
      <c r="B206" s="31" t="s">
        <v>1238</v>
      </c>
      <c r="C206" s="46" t="s">
        <v>131</v>
      </c>
      <c r="D206" s="41">
        <v>136.0394</v>
      </c>
      <c r="E206" s="28">
        <v>394</v>
      </c>
    </row>
    <row r="207" spans="1:5">
      <c r="A207" s="22" t="s">
        <v>186</v>
      </c>
      <c r="B207" s="31" t="s">
        <v>1238</v>
      </c>
      <c r="C207" s="46" t="s">
        <v>132</v>
      </c>
      <c r="D207" s="41">
        <v>61.342300000000002</v>
      </c>
      <c r="E207" s="28">
        <v>76</v>
      </c>
    </row>
    <row r="208" spans="1:5">
      <c r="A208" s="22" t="s">
        <v>186</v>
      </c>
      <c r="B208" s="31" t="s">
        <v>1238</v>
      </c>
      <c r="C208" s="46" t="s">
        <v>133</v>
      </c>
      <c r="D208" s="41">
        <v>105.73269999999999</v>
      </c>
      <c r="E208" s="28">
        <v>270</v>
      </c>
    </row>
    <row r="209" spans="1:5">
      <c r="A209" s="22" t="s">
        <v>186</v>
      </c>
      <c r="B209" s="31" t="s">
        <v>1238</v>
      </c>
      <c r="C209" s="46" t="s">
        <v>134</v>
      </c>
      <c r="D209" s="41">
        <v>86.647900000000007</v>
      </c>
      <c r="E209" s="28">
        <v>242</v>
      </c>
    </row>
    <row r="210" spans="1:5">
      <c r="A210" s="22" t="s">
        <v>186</v>
      </c>
      <c r="B210" s="31" t="s">
        <v>1238</v>
      </c>
      <c r="C210" s="46" t="s">
        <v>135</v>
      </c>
      <c r="D210" s="41">
        <v>20</v>
      </c>
      <c r="E210" s="28">
        <v>20</v>
      </c>
    </row>
    <row r="211" spans="1:5">
      <c r="A211" s="22" t="s">
        <v>186</v>
      </c>
      <c r="B211" s="31" t="s">
        <v>1238</v>
      </c>
      <c r="C211" s="46" t="s">
        <v>136</v>
      </c>
      <c r="D211" s="41">
        <v>36.374899999999997</v>
      </c>
      <c r="E211" s="28">
        <v>74</v>
      </c>
    </row>
    <row r="212" spans="1:5">
      <c r="A212" s="22" t="s">
        <v>186</v>
      </c>
      <c r="B212" s="31" t="s">
        <v>1238</v>
      </c>
      <c r="C212" s="46" t="s">
        <v>137</v>
      </c>
      <c r="D212" s="41">
        <v>175.4521</v>
      </c>
      <c r="E212" s="28">
        <v>284</v>
      </c>
    </row>
    <row r="213" spans="1:5">
      <c r="A213" s="22" t="s">
        <v>186</v>
      </c>
      <c r="B213" s="31" t="s">
        <v>1238</v>
      </c>
      <c r="C213" s="46" t="s">
        <v>138</v>
      </c>
      <c r="D213" s="41">
        <v>140</v>
      </c>
      <c r="E213" s="28">
        <v>508</v>
      </c>
    </row>
    <row r="214" spans="1:5">
      <c r="A214" s="22" t="s">
        <v>186</v>
      </c>
      <c r="B214" s="31" t="s">
        <v>1238</v>
      </c>
      <c r="C214" s="46" t="s">
        <v>139</v>
      </c>
      <c r="D214" s="41">
        <v>144.03960000000001</v>
      </c>
      <c r="E214" s="28">
        <v>500</v>
      </c>
    </row>
    <row r="215" spans="1:5">
      <c r="A215" s="22" t="s">
        <v>186</v>
      </c>
      <c r="B215" s="31" t="s">
        <v>1238</v>
      </c>
      <c r="C215" s="46" t="s">
        <v>140</v>
      </c>
      <c r="D215" s="41">
        <v>35</v>
      </c>
      <c r="E215" s="28">
        <v>70</v>
      </c>
    </row>
    <row r="216" spans="1:5">
      <c r="A216" s="22" t="s">
        <v>186</v>
      </c>
      <c r="B216" s="31" t="s">
        <v>1238</v>
      </c>
      <c r="C216" s="46" t="s">
        <v>141</v>
      </c>
      <c r="D216" s="41">
        <v>127.7051</v>
      </c>
      <c r="E216" s="28">
        <v>471</v>
      </c>
    </row>
    <row r="217" spans="1:5">
      <c r="A217" s="22" t="s">
        <v>186</v>
      </c>
      <c r="B217" s="31" t="s">
        <v>1238</v>
      </c>
      <c r="C217" s="46" t="s">
        <v>142</v>
      </c>
      <c r="D217" s="41">
        <v>218.8657</v>
      </c>
      <c r="E217" s="28">
        <v>500</v>
      </c>
    </row>
    <row r="218" spans="1:5">
      <c r="A218" s="22" t="s">
        <v>186</v>
      </c>
      <c r="B218" s="31" t="s">
        <v>1238</v>
      </c>
      <c r="C218" s="46" t="s">
        <v>143</v>
      </c>
      <c r="D218" s="41">
        <v>128.06229999999999</v>
      </c>
      <c r="E218" s="28">
        <v>401</v>
      </c>
    </row>
    <row r="219" spans="1:5">
      <c r="A219" s="22" t="s">
        <v>186</v>
      </c>
      <c r="B219" s="31" t="s">
        <v>1238</v>
      </c>
      <c r="C219" s="46" t="s">
        <v>144</v>
      </c>
      <c r="D219" s="41">
        <v>60.345300000000002</v>
      </c>
      <c r="E219" s="28">
        <v>312</v>
      </c>
    </row>
    <row r="220" spans="1:5">
      <c r="A220" s="22" t="s">
        <v>186</v>
      </c>
      <c r="B220" s="31" t="s">
        <v>1238</v>
      </c>
      <c r="C220" s="46" t="s">
        <v>145</v>
      </c>
      <c r="D220" s="41">
        <v>103.2265</v>
      </c>
      <c r="E220" s="28">
        <v>340</v>
      </c>
    </row>
    <row r="221" spans="1:5">
      <c r="A221" s="22" t="s">
        <v>186</v>
      </c>
      <c r="B221" s="31" t="s">
        <v>1238</v>
      </c>
      <c r="C221" s="46" t="s">
        <v>1246</v>
      </c>
      <c r="D221" s="41">
        <v>35</v>
      </c>
      <c r="E221" s="28">
        <v>68</v>
      </c>
    </row>
    <row r="222" spans="1:5">
      <c r="A222" s="22" t="s">
        <v>186</v>
      </c>
      <c r="B222" s="31" t="s">
        <v>1238</v>
      </c>
      <c r="C222" s="46" t="s">
        <v>146</v>
      </c>
      <c r="D222" s="41">
        <v>2</v>
      </c>
      <c r="E222" s="28">
        <v>9</v>
      </c>
    </row>
    <row r="223" spans="1:5">
      <c r="A223" s="22" t="s">
        <v>186</v>
      </c>
      <c r="B223" s="31" t="s">
        <v>1238</v>
      </c>
      <c r="C223" s="46" t="s">
        <v>147</v>
      </c>
      <c r="D223" s="41">
        <v>7</v>
      </c>
      <c r="E223" s="28" t="s">
        <v>1239</v>
      </c>
    </row>
    <row r="224" spans="1:5">
      <c r="A224" s="22" t="s">
        <v>186</v>
      </c>
      <c r="B224" s="31" t="s">
        <v>1238</v>
      </c>
      <c r="C224" s="46" t="s">
        <v>148</v>
      </c>
      <c r="D224" s="41">
        <v>4</v>
      </c>
      <c r="E224" s="28" t="s">
        <v>1239</v>
      </c>
    </row>
    <row r="225" spans="1:5">
      <c r="A225" s="22" t="s">
        <v>186</v>
      </c>
      <c r="B225" s="31" t="s">
        <v>1240</v>
      </c>
      <c r="C225" s="46" t="s">
        <v>149</v>
      </c>
      <c r="D225" s="41">
        <v>82.480400000000003</v>
      </c>
      <c r="E225" s="28">
        <v>348</v>
      </c>
    </row>
    <row r="226" spans="1:5">
      <c r="A226" s="22" t="s">
        <v>186</v>
      </c>
      <c r="B226" s="31" t="s">
        <v>1240</v>
      </c>
      <c r="C226" s="46" t="s">
        <v>150</v>
      </c>
      <c r="D226" s="41">
        <v>20</v>
      </c>
      <c r="E226" s="28">
        <v>14</v>
      </c>
    </row>
    <row r="227" spans="1:5">
      <c r="A227" s="22" t="s">
        <v>186</v>
      </c>
      <c r="B227" s="31" t="s">
        <v>1240</v>
      </c>
      <c r="C227" s="46" t="s">
        <v>151</v>
      </c>
      <c r="D227" s="41">
        <v>100</v>
      </c>
      <c r="E227" s="28">
        <v>240</v>
      </c>
    </row>
    <row r="228" spans="1:5">
      <c r="A228" s="22" t="s">
        <v>186</v>
      </c>
      <c r="B228" s="31" t="s">
        <v>1240</v>
      </c>
      <c r="C228" s="46" t="s">
        <v>1247</v>
      </c>
      <c r="D228" s="41">
        <v>85.603399999999993</v>
      </c>
      <c r="E228" s="28">
        <v>531</v>
      </c>
    </row>
    <row r="229" spans="1:5">
      <c r="A229" s="22" t="s">
        <v>186</v>
      </c>
      <c r="B229" s="31" t="s">
        <v>1240</v>
      </c>
      <c r="C229" s="46" t="s">
        <v>152</v>
      </c>
      <c r="D229" s="41">
        <v>73</v>
      </c>
      <c r="E229" s="28">
        <v>188</v>
      </c>
    </row>
    <row r="230" spans="1:5">
      <c r="A230" s="22" t="s">
        <v>186</v>
      </c>
      <c r="B230" s="31" t="s">
        <v>1240</v>
      </c>
      <c r="C230" s="46" t="s">
        <v>1248</v>
      </c>
      <c r="D230" s="41">
        <v>140.1275</v>
      </c>
      <c r="E230" s="28">
        <v>584</v>
      </c>
    </row>
    <row r="231" spans="1:5">
      <c r="A231" s="22" t="s">
        <v>186</v>
      </c>
      <c r="B231" s="31" t="s">
        <v>1240</v>
      </c>
      <c r="C231" s="46" t="s">
        <v>153</v>
      </c>
      <c r="D231" s="41">
        <v>52.5</v>
      </c>
      <c r="E231" s="28">
        <v>180</v>
      </c>
    </row>
    <row r="232" spans="1:5">
      <c r="A232" s="22" t="s">
        <v>186</v>
      </c>
      <c r="B232" s="31" t="s">
        <v>1240</v>
      </c>
      <c r="C232" s="46" t="s">
        <v>154</v>
      </c>
      <c r="D232" s="41">
        <v>66.284999999999997</v>
      </c>
      <c r="E232" s="28">
        <v>380</v>
      </c>
    </row>
    <row r="233" spans="1:5">
      <c r="A233" s="22" t="s">
        <v>186</v>
      </c>
      <c r="B233" s="31" t="s">
        <v>1240</v>
      </c>
      <c r="C233" s="46" t="s">
        <v>1249</v>
      </c>
      <c r="D233" s="41">
        <v>83.6</v>
      </c>
      <c r="E233" s="28">
        <v>100</v>
      </c>
    </row>
    <row r="234" spans="1:5">
      <c r="A234" s="22" t="s">
        <v>186</v>
      </c>
      <c r="B234" s="31" t="s">
        <v>1240</v>
      </c>
      <c r="C234" s="46" t="s">
        <v>155</v>
      </c>
      <c r="D234" s="41">
        <v>12</v>
      </c>
      <c r="E234" s="28">
        <v>19</v>
      </c>
    </row>
    <row r="235" spans="1:5">
      <c r="A235" s="22" t="s">
        <v>186</v>
      </c>
      <c r="B235" s="31" t="s">
        <v>1240</v>
      </c>
      <c r="C235" s="46" t="s">
        <v>156</v>
      </c>
      <c r="D235" s="41">
        <v>80</v>
      </c>
      <c r="E235" s="28">
        <v>159</v>
      </c>
    </row>
    <row r="236" spans="1:5">
      <c r="A236" s="22" t="s">
        <v>186</v>
      </c>
      <c r="B236" s="31" t="s">
        <v>1241</v>
      </c>
      <c r="C236" s="46" t="s">
        <v>157</v>
      </c>
      <c r="D236" s="41">
        <v>100</v>
      </c>
      <c r="E236" s="41">
        <v>96</v>
      </c>
    </row>
    <row r="237" spans="1:5">
      <c r="A237" s="22" t="s">
        <v>186</v>
      </c>
      <c r="B237" s="31" t="s">
        <v>1241</v>
      </c>
      <c r="C237" s="46" t="s">
        <v>158</v>
      </c>
      <c r="D237" s="41">
        <v>104</v>
      </c>
      <c r="E237" s="28">
        <v>112</v>
      </c>
    </row>
    <row r="238" spans="1:5">
      <c r="A238" s="22" t="s">
        <v>186</v>
      </c>
      <c r="B238" s="31" t="s">
        <v>1241</v>
      </c>
      <c r="C238" s="46" t="s">
        <v>159</v>
      </c>
      <c r="D238" s="41">
        <v>96</v>
      </c>
      <c r="E238" s="28">
        <v>96</v>
      </c>
    </row>
    <row r="239" spans="1:5">
      <c r="A239" s="22" t="s">
        <v>186</v>
      </c>
      <c r="B239" s="31" t="s">
        <v>1241</v>
      </c>
      <c r="C239" s="46" t="s">
        <v>160</v>
      </c>
      <c r="D239" s="41">
        <v>72</v>
      </c>
      <c r="E239" s="28">
        <v>48</v>
      </c>
    </row>
    <row r="240" spans="1:5">
      <c r="A240" s="22" t="s">
        <v>186</v>
      </c>
      <c r="B240" s="31" t="s">
        <v>1241</v>
      </c>
      <c r="C240" s="46" t="s">
        <v>161</v>
      </c>
      <c r="D240" s="41">
        <v>72</v>
      </c>
      <c r="E240" s="28">
        <v>47</v>
      </c>
    </row>
    <row r="241" spans="1:5">
      <c r="A241" s="22" t="s">
        <v>186</v>
      </c>
      <c r="B241" s="31" t="s">
        <v>1241</v>
      </c>
      <c r="C241" s="46" t="s">
        <v>162</v>
      </c>
      <c r="D241" s="41">
        <v>72</v>
      </c>
      <c r="E241" s="28">
        <v>47</v>
      </c>
    </row>
    <row r="242" spans="1:5">
      <c r="A242" s="22" t="s">
        <v>186</v>
      </c>
      <c r="B242" s="31" t="s">
        <v>1241</v>
      </c>
      <c r="C242" s="46" t="s">
        <v>163</v>
      </c>
      <c r="D242" s="41">
        <v>75</v>
      </c>
      <c r="E242" s="28">
        <v>47</v>
      </c>
    </row>
    <row r="243" spans="1:5">
      <c r="A243" s="22" t="s">
        <v>186</v>
      </c>
      <c r="B243" s="31" t="s">
        <v>1241</v>
      </c>
      <c r="C243" s="46" t="s">
        <v>164</v>
      </c>
      <c r="D243" s="41">
        <v>72</v>
      </c>
      <c r="E243" s="28">
        <v>166</v>
      </c>
    </row>
    <row r="244" spans="1:5">
      <c r="A244" s="22" t="s">
        <v>186</v>
      </c>
      <c r="B244" s="31" t="s">
        <v>1241</v>
      </c>
      <c r="C244" s="46" t="s">
        <v>165</v>
      </c>
      <c r="D244" s="41">
        <v>70.5</v>
      </c>
      <c r="E244" s="28">
        <v>47</v>
      </c>
    </row>
    <row r="245" spans="1:5">
      <c r="A245" s="22" t="s">
        <v>186</v>
      </c>
      <c r="B245" s="31" t="s">
        <v>1241</v>
      </c>
      <c r="C245" s="46" t="s">
        <v>166</v>
      </c>
      <c r="D245" s="41">
        <v>70.5</v>
      </c>
      <c r="E245" s="28">
        <v>47</v>
      </c>
    </row>
    <row r="246" spans="1:5">
      <c r="A246" s="22" t="s">
        <v>186</v>
      </c>
      <c r="B246" s="31" t="s">
        <v>1241</v>
      </c>
      <c r="C246" s="46" t="s">
        <v>167</v>
      </c>
      <c r="D246" s="41">
        <v>70.5</v>
      </c>
      <c r="E246" s="28">
        <v>47</v>
      </c>
    </row>
    <row r="247" spans="1:5">
      <c r="A247" s="22" t="s">
        <v>186</v>
      </c>
      <c r="B247" s="31" t="s">
        <v>1241</v>
      </c>
      <c r="C247" s="46" t="s">
        <v>168</v>
      </c>
      <c r="D247" s="41">
        <v>72</v>
      </c>
      <c r="E247" s="28">
        <v>48</v>
      </c>
    </row>
    <row r="248" spans="1:5">
      <c r="A248" s="22" t="s">
        <v>186</v>
      </c>
      <c r="B248" s="31" t="s">
        <v>1241</v>
      </c>
      <c r="C248" s="46" t="s">
        <v>169</v>
      </c>
      <c r="D248" s="41">
        <v>67.5</v>
      </c>
      <c r="E248" s="28">
        <v>45</v>
      </c>
    </row>
    <row r="249" spans="1:5">
      <c r="A249" s="22" t="s">
        <v>186</v>
      </c>
      <c r="B249" s="31" t="s">
        <v>1241</v>
      </c>
      <c r="C249" s="46" t="s">
        <v>170</v>
      </c>
      <c r="D249" s="41">
        <v>72</v>
      </c>
      <c r="E249" s="28">
        <v>48</v>
      </c>
    </row>
    <row r="250" spans="1:5">
      <c r="A250" s="22" t="s">
        <v>186</v>
      </c>
      <c r="B250" s="31" t="s">
        <v>1241</v>
      </c>
      <c r="C250" s="46" t="s">
        <v>171</v>
      </c>
      <c r="D250" s="41">
        <v>66</v>
      </c>
      <c r="E250" s="28">
        <v>44</v>
      </c>
    </row>
    <row r="251" spans="1:5">
      <c r="A251" s="22" t="s">
        <v>186</v>
      </c>
      <c r="B251" s="31" t="s">
        <v>1241</v>
      </c>
      <c r="C251" s="46" t="s">
        <v>172</v>
      </c>
      <c r="D251" s="41">
        <v>72</v>
      </c>
      <c r="E251" s="28">
        <v>48</v>
      </c>
    </row>
    <row r="252" spans="1:5">
      <c r="A252" s="22" t="s">
        <v>186</v>
      </c>
      <c r="B252" s="31" t="s">
        <v>1241</v>
      </c>
      <c r="C252" s="46" t="s">
        <v>173</v>
      </c>
      <c r="D252" s="41">
        <v>75</v>
      </c>
      <c r="E252" s="28">
        <v>50</v>
      </c>
    </row>
    <row r="253" spans="1:5">
      <c r="A253" s="22" t="s">
        <v>186</v>
      </c>
      <c r="B253" s="31" t="s">
        <v>1241</v>
      </c>
      <c r="C253" s="46" t="s">
        <v>174</v>
      </c>
      <c r="D253" s="47">
        <v>72</v>
      </c>
      <c r="E253" s="48">
        <v>48</v>
      </c>
    </row>
    <row r="254" spans="1:5">
      <c r="A254" s="22" t="s">
        <v>186</v>
      </c>
      <c r="B254" s="31" t="s">
        <v>1241</v>
      </c>
      <c r="C254" s="46" t="s">
        <v>175</v>
      </c>
      <c r="D254" s="41">
        <v>72</v>
      </c>
      <c r="E254" s="28">
        <v>48</v>
      </c>
    </row>
    <row r="255" spans="1:5">
      <c r="A255" s="22" t="s">
        <v>186</v>
      </c>
      <c r="B255" s="31" t="s">
        <v>1241</v>
      </c>
      <c r="C255" s="46" t="s">
        <v>176</v>
      </c>
      <c r="D255" s="41">
        <v>72</v>
      </c>
      <c r="E255" s="28">
        <v>48</v>
      </c>
    </row>
    <row r="256" spans="1:5">
      <c r="A256" s="22" t="s">
        <v>186</v>
      </c>
      <c r="B256" s="31" t="s">
        <v>1241</v>
      </c>
      <c r="C256" s="46" t="s">
        <v>177</v>
      </c>
      <c r="D256" s="41">
        <v>72</v>
      </c>
      <c r="E256" s="28">
        <v>48</v>
      </c>
    </row>
    <row r="257" spans="1:5">
      <c r="A257" s="22" t="s">
        <v>186</v>
      </c>
      <c r="B257" s="31" t="s">
        <v>1241</v>
      </c>
      <c r="C257" s="46" t="s">
        <v>178</v>
      </c>
      <c r="D257" s="41">
        <v>72</v>
      </c>
      <c r="E257" s="28">
        <v>48</v>
      </c>
    </row>
    <row r="258" spans="1:5">
      <c r="A258" s="22" t="s">
        <v>186</v>
      </c>
      <c r="B258" s="31" t="s">
        <v>1241</v>
      </c>
      <c r="C258" s="46" t="s">
        <v>179</v>
      </c>
      <c r="D258" s="41">
        <v>72</v>
      </c>
      <c r="E258" s="28">
        <v>48</v>
      </c>
    </row>
    <row r="259" spans="1:5">
      <c r="A259" s="22" t="s">
        <v>186</v>
      </c>
      <c r="B259" s="31" t="s">
        <v>1241</v>
      </c>
      <c r="C259" s="46" t="s">
        <v>180</v>
      </c>
      <c r="D259" s="41">
        <v>72</v>
      </c>
      <c r="E259" s="28">
        <v>34</v>
      </c>
    </row>
    <row r="260" spans="1:5">
      <c r="A260" s="22" t="s">
        <v>186</v>
      </c>
      <c r="B260" s="31" t="s">
        <v>1241</v>
      </c>
      <c r="C260" s="46" t="s">
        <v>181</v>
      </c>
      <c r="D260" s="41">
        <v>72</v>
      </c>
      <c r="E260" s="28">
        <v>48</v>
      </c>
    </row>
    <row r="261" spans="1:5">
      <c r="A261" s="22" t="s">
        <v>186</v>
      </c>
      <c r="B261" s="31" t="s">
        <v>1241</v>
      </c>
      <c r="C261" s="46" t="s">
        <v>182</v>
      </c>
      <c r="D261" s="41">
        <v>72</v>
      </c>
      <c r="E261" s="28">
        <v>48</v>
      </c>
    </row>
    <row r="262" spans="1:5">
      <c r="A262" s="22" t="s">
        <v>186</v>
      </c>
      <c r="B262" s="31" t="s">
        <v>1241</v>
      </c>
      <c r="C262" s="46" t="s">
        <v>183</v>
      </c>
      <c r="D262" s="41">
        <v>72</v>
      </c>
      <c r="E262" s="28">
        <v>34</v>
      </c>
    </row>
    <row r="263" spans="1:5">
      <c r="A263" s="22" t="s">
        <v>186</v>
      </c>
      <c r="B263" s="31" t="s">
        <v>1241</v>
      </c>
      <c r="C263" s="46" t="s">
        <v>184</v>
      </c>
      <c r="D263" s="41">
        <v>72</v>
      </c>
      <c r="E263" s="28">
        <v>48</v>
      </c>
    </row>
    <row r="264" spans="1:5">
      <c r="A264" s="22" t="s">
        <v>186</v>
      </c>
      <c r="B264" s="31" t="s">
        <v>1241</v>
      </c>
      <c r="C264" s="46" t="s">
        <v>185</v>
      </c>
      <c r="D264" s="41">
        <v>72</v>
      </c>
      <c r="E264" s="28">
        <v>48</v>
      </c>
    </row>
    <row r="265" spans="1:5">
      <c r="A265" s="22" t="s">
        <v>189</v>
      </c>
      <c r="B265" s="85" t="s">
        <v>65</v>
      </c>
      <c r="C265" s="22" t="s">
        <v>54</v>
      </c>
      <c r="D265" s="3">
        <v>1715</v>
      </c>
      <c r="E265" s="3">
        <v>80</v>
      </c>
    </row>
    <row r="266" spans="1:5">
      <c r="A266" s="22" t="s">
        <v>189</v>
      </c>
      <c r="B266" s="85"/>
      <c r="C266" s="22" t="s">
        <v>52</v>
      </c>
      <c r="D266" s="3">
        <v>668</v>
      </c>
      <c r="E266" s="3">
        <v>220</v>
      </c>
    </row>
    <row r="267" spans="1:5">
      <c r="A267" s="22" t="s">
        <v>189</v>
      </c>
      <c r="B267" s="85"/>
      <c r="C267" s="22" t="s">
        <v>190</v>
      </c>
      <c r="D267" s="3">
        <v>704</v>
      </c>
      <c r="E267" s="3">
        <v>117</v>
      </c>
    </row>
    <row r="268" spans="1:5">
      <c r="A268" s="22" t="s">
        <v>189</v>
      </c>
      <c r="B268" s="85"/>
      <c r="C268" s="22" t="s">
        <v>191</v>
      </c>
      <c r="D268" s="3">
        <v>487</v>
      </c>
      <c r="E268" s="3">
        <v>90</v>
      </c>
    </row>
    <row r="269" spans="1:5">
      <c r="A269" s="22" t="s">
        <v>189</v>
      </c>
      <c r="B269" s="85"/>
      <c r="C269" s="22" t="s">
        <v>192</v>
      </c>
      <c r="D269" s="3">
        <v>220</v>
      </c>
      <c r="E269" s="3">
        <v>25</v>
      </c>
    </row>
    <row r="270" spans="1:5">
      <c r="A270" s="22" t="s">
        <v>189</v>
      </c>
      <c r="B270" s="85"/>
      <c r="C270" s="22" t="s">
        <v>193</v>
      </c>
      <c r="D270" s="3">
        <v>731</v>
      </c>
      <c r="E270" s="3">
        <v>217</v>
      </c>
    </row>
    <row r="271" spans="1:5">
      <c r="A271" s="22" t="s">
        <v>189</v>
      </c>
      <c r="B271" s="85"/>
      <c r="C271" s="22" t="s">
        <v>194</v>
      </c>
      <c r="D271" s="3">
        <v>500</v>
      </c>
      <c r="E271" s="3">
        <v>32</v>
      </c>
    </row>
    <row r="272" spans="1:5">
      <c r="A272" s="22" t="s">
        <v>189</v>
      </c>
      <c r="B272" s="85" t="s">
        <v>1355</v>
      </c>
      <c r="C272" s="22" t="s">
        <v>195</v>
      </c>
      <c r="D272" s="3">
        <v>500</v>
      </c>
      <c r="E272" s="3">
        <v>56</v>
      </c>
    </row>
    <row r="273" spans="1:5">
      <c r="A273" s="22" t="s">
        <v>189</v>
      </c>
      <c r="B273" s="85"/>
      <c r="C273" s="22" t="s">
        <v>196</v>
      </c>
      <c r="D273" s="3">
        <v>518</v>
      </c>
      <c r="E273" s="3">
        <v>53</v>
      </c>
    </row>
    <row r="274" spans="1:5">
      <c r="A274" s="22" t="s">
        <v>189</v>
      </c>
      <c r="B274" s="85"/>
      <c r="C274" s="22" t="s">
        <v>197</v>
      </c>
      <c r="D274" s="3">
        <v>60</v>
      </c>
      <c r="E274" s="3">
        <v>6</v>
      </c>
    </row>
    <row r="275" spans="1:5">
      <c r="A275" s="22" t="s">
        <v>189</v>
      </c>
      <c r="B275" s="85"/>
      <c r="C275" s="22" t="s">
        <v>198</v>
      </c>
      <c r="D275" s="3">
        <v>1000</v>
      </c>
      <c r="E275" s="3">
        <v>239</v>
      </c>
    </row>
    <row r="276" spans="1:5">
      <c r="A276" s="22" t="s">
        <v>189</v>
      </c>
      <c r="B276" s="85" t="s">
        <v>1356</v>
      </c>
      <c r="C276" s="22" t="s">
        <v>199</v>
      </c>
      <c r="D276" s="3">
        <v>860</v>
      </c>
      <c r="E276" s="3">
        <v>62</v>
      </c>
    </row>
    <row r="277" spans="1:5">
      <c r="A277" s="22" t="s">
        <v>189</v>
      </c>
      <c r="B277" s="85"/>
      <c r="C277" s="22" t="s">
        <v>200</v>
      </c>
      <c r="D277" s="3">
        <v>950</v>
      </c>
      <c r="E277" s="3">
        <v>131</v>
      </c>
    </row>
    <row r="278" spans="1:5">
      <c r="A278" s="22" t="s">
        <v>189</v>
      </c>
      <c r="B278" s="85" t="s">
        <v>1357</v>
      </c>
      <c r="C278" s="22" t="s">
        <v>201</v>
      </c>
      <c r="D278" s="3">
        <v>745</v>
      </c>
      <c r="E278" s="3">
        <v>127</v>
      </c>
    </row>
    <row r="279" spans="1:5">
      <c r="A279" s="22" t="s">
        <v>189</v>
      </c>
      <c r="B279" s="85"/>
      <c r="C279" s="22" t="s">
        <v>202</v>
      </c>
      <c r="D279" s="3">
        <v>350</v>
      </c>
      <c r="E279" s="3">
        <v>50</v>
      </c>
    </row>
    <row r="280" spans="1:5">
      <c r="A280" s="22" t="s">
        <v>189</v>
      </c>
      <c r="B280" s="85"/>
      <c r="C280" s="22" t="s">
        <v>203</v>
      </c>
      <c r="D280" s="3">
        <v>707</v>
      </c>
      <c r="E280" s="3">
        <v>94</v>
      </c>
    </row>
    <row r="281" spans="1:5">
      <c r="A281" s="22" t="s">
        <v>189</v>
      </c>
      <c r="B281" s="85"/>
      <c r="C281" s="22" t="s">
        <v>204</v>
      </c>
      <c r="D281" s="3">
        <v>1045</v>
      </c>
      <c r="E281" s="3">
        <v>134</v>
      </c>
    </row>
    <row r="282" spans="1:5">
      <c r="A282" s="22" t="s">
        <v>189</v>
      </c>
      <c r="B282" s="85"/>
      <c r="C282" s="22" t="s">
        <v>205</v>
      </c>
      <c r="D282" s="3">
        <v>480</v>
      </c>
      <c r="E282" s="3">
        <v>80</v>
      </c>
    </row>
    <row r="283" spans="1:5">
      <c r="A283" s="22" t="s">
        <v>189</v>
      </c>
      <c r="B283" s="85"/>
      <c r="C283" s="22" t="s">
        <v>206</v>
      </c>
      <c r="D283" s="3">
        <v>815</v>
      </c>
      <c r="E283" s="3">
        <v>142</v>
      </c>
    </row>
    <row r="284" spans="1:5">
      <c r="A284" s="22" t="s">
        <v>189</v>
      </c>
      <c r="B284" s="85"/>
      <c r="C284" s="22" t="s">
        <v>13</v>
      </c>
      <c r="D284" s="3">
        <v>1026</v>
      </c>
      <c r="E284" s="3">
        <v>180</v>
      </c>
    </row>
    <row r="285" spans="1:5">
      <c r="A285" s="22" t="s">
        <v>189</v>
      </c>
      <c r="B285" s="85" t="s">
        <v>1359</v>
      </c>
      <c r="C285" s="22" t="s">
        <v>207</v>
      </c>
      <c r="D285" s="3">
        <v>1180</v>
      </c>
      <c r="E285" s="3">
        <v>312</v>
      </c>
    </row>
    <row r="286" spans="1:5" ht="19.5" customHeight="1">
      <c r="A286" s="22" t="s">
        <v>189</v>
      </c>
      <c r="B286" s="85"/>
      <c r="C286" s="65" t="s">
        <v>1358</v>
      </c>
      <c r="D286" s="3">
        <v>1170</v>
      </c>
      <c r="E286" s="3">
        <v>171</v>
      </c>
    </row>
    <row r="287" spans="1:5">
      <c r="A287" s="22" t="s">
        <v>189</v>
      </c>
      <c r="B287" s="75" t="s">
        <v>1355</v>
      </c>
      <c r="C287" s="22" t="s">
        <v>208</v>
      </c>
      <c r="D287" s="3">
        <v>170</v>
      </c>
      <c r="E287" s="3">
        <v>65</v>
      </c>
    </row>
    <row r="288" spans="1:5">
      <c r="A288" s="22" t="s">
        <v>189</v>
      </c>
      <c r="B288" s="75" t="s">
        <v>1359</v>
      </c>
      <c r="C288" s="22" t="s">
        <v>209</v>
      </c>
      <c r="D288" s="3">
        <v>20</v>
      </c>
      <c r="E288" s="3">
        <v>9</v>
      </c>
    </row>
    <row r="289" spans="1:5">
      <c r="A289" s="22" t="s">
        <v>1129</v>
      </c>
      <c r="B289" s="22" t="s">
        <v>1129</v>
      </c>
      <c r="C289" s="22" t="s">
        <v>1128</v>
      </c>
      <c r="D289" s="3">
        <v>160</v>
      </c>
      <c r="E289" s="3">
        <v>77</v>
      </c>
    </row>
    <row r="290" spans="1:5">
      <c r="A290" s="22" t="s">
        <v>1129</v>
      </c>
      <c r="B290" s="22" t="s">
        <v>1130</v>
      </c>
      <c r="C290" s="22" t="s">
        <v>1131</v>
      </c>
      <c r="D290" s="3">
        <v>180</v>
      </c>
      <c r="E290" s="3">
        <v>75</v>
      </c>
    </row>
    <row r="291" spans="1:5">
      <c r="A291" s="22" t="s">
        <v>1129</v>
      </c>
      <c r="B291" s="22" t="s">
        <v>1132</v>
      </c>
      <c r="C291" s="22" t="s">
        <v>59</v>
      </c>
      <c r="D291" s="3">
        <v>245</v>
      </c>
      <c r="E291" s="3">
        <v>54</v>
      </c>
    </row>
    <row r="292" spans="1:5">
      <c r="A292" s="22" t="s">
        <v>1129</v>
      </c>
      <c r="B292" s="22" t="s">
        <v>1133</v>
      </c>
      <c r="C292" s="22" t="s">
        <v>1134</v>
      </c>
      <c r="D292" s="3">
        <v>160</v>
      </c>
      <c r="E292" s="3">
        <v>102</v>
      </c>
    </row>
    <row r="293" spans="1:5">
      <c r="A293" s="22" t="s">
        <v>1129</v>
      </c>
      <c r="B293" s="22" t="s">
        <v>1133</v>
      </c>
      <c r="C293" s="22" t="s">
        <v>382</v>
      </c>
      <c r="D293" s="3">
        <v>222</v>
      </c>
      <c r="E293" s="3">
        <v>110</v>
      </c>
    </row>
    <row r="294" spans="1:5">
      <c r="A294" s="22" t="s">
        <v>1129</v>
      </c>
      <c r="B294" s="22" t="s">
        <v>1135</v>
      </c>
      <c r="C294" s="22" t="s">
        <v>1136</v>
      </c>
      <c r="D294" s="3">
        <v>125</v>
      </c>
      <c r="E294" s="3">
        <v>35</v>
      </c>
    </row>
    <row r="295" spans="1:5">
      <c r="A295" s="22" t="s">
        <v>1129</v>
      </c>
      <c r="B295" s="22" t="s">
        <v>1140</v>
      </c>
      <c r="C295" s="22" t="s">
        <v>1143</v>
      </c>
      <c r="D295" s="3">
        <v>257</v>
      </c>
      <c r="E295" s="3">
        <v>183</v>
      </c>
    </row>
    <row r="296" spans="1:5">
      <c r="A296" s="22" t="s">
        <v>1129</v>
      </c>
      <c r="B296" s="22" t="s">
        <v>1141</v>
      </c>
      <c r="C296" s="22" t="s">
        <v>1144</v>
      </c>
      <c r="D296" s="3">
        <v>425</v>
      </c>
      <c r="E296" s="3">
        <v>140</v>
      </c>
    </row>
    <row r="297" spans="1:5">
      <c r="A297" s="22" t="s">
        <v>1129</v>
      </c>
      <c r="B297" s="22" t="s">
        <v>1141</v>
      </c>
      <c r="C297" s="22" t="s">
        <v>1145</v>
      </c>
      <c r="D297" s="3">
        <v>320</v>
      </c>
      <c r="E297" s="3">
        <v>72</v>
      </c>
    </row>
    <row r="298" spans="1:5">
      <c r="A298" s="22" t="s">
        <v>1129</v>
      </c>
      <c r="B298" s="22" t="s">
        <v>1140</v>
      </c>
      <c r="C298" s="22" t="s">
        <v>1146</v>
      </c>
      <c r="D298" s="3">
        <v>183</v>
      </c>
      <c r="E298" s="3">
        <v>150</v>
      </c>
    </row>
    <row r="299" spans="1:5">
      <c r="A299" s="22" t="s">
        <v>1129</v>
      </c>
      <c r="B299" s="22" t="s">
        <v>1140</v>
      </c>
      <c r="C299" s="22" t="s">
        <v>1147</v>
      </c>
      <c r="D299" s="3">
        <v>30</v>
      </c>
      <c r="E299" s="3">
        <v>40</v>
      </c>
    </row>
    <row r="300" spans="1:5">
      <c r="A300" s="22" t="s">
        <v>1129</v>
      </c>
      <c r="B300" s="22" t="s">
        <v>1135</v>
      </c>
      <c r="C300" s="22" t="s">
        <v>1148</v>
      </c>
      <c r="D300" s="3">
        <v>145</v>
      </c>
      <c r="E300" s="3">
        <v>51</v>
      </c>
    </row>
    <row r="301" spans="1:5">
      <c r="A301" s="22" t="s">
        <v>1129</v>
      </c>
      <c r="B301" s="22" t="s">
        <v>1138</v>
      </c>
      <c r="C301" s="22" t="s">
        <v>1165</v>
      </c>
      <c r="D301" s="3">
        <v>70</v>
      </c>
      <c r="E301" s="3">
        <v>13</v>
      </c>
    </row>
    <row r="302" spans="1:5">
      <c r="A302" s="22" t="s">
        <v>1129</v>
      </c>
      <c r="B302" s="22" t="s">
        <v>1140</v>
      </c>
      <c r="C302" s="22" t="s">
        <v>1166</v>
      </c>
      <c r="D302" s="3">
        <v>52</v>
      </c>
      <c r="E302" s="3">
        <v>51</v>
      </c>
    </row>
    <row r="303" spans="1:5">
      <c r="A303" s="22" t="s">
        <v>1129</v>
      </c>
      <c r="B303" s="22" t="s">
        <v>1140</v>
      </c>
      <c r="C303" s="22" t="s">
        <v>1167</v>
      </c>
      <c r="D303" s="3">
        <v>20</v>
      </c>
      <c r="E303" s="3">
        <v>28</v>
      </c>
    </row>
    <row r="304" spans="1:5" ht="18.75" customHeight="1">
      <c r="A304" s="22" t="s">
        <v>1129</v>
      </c>
      <c r="B304" s="22" t="s">
        <v>975</v>
      </c>
      <c r="C304" s="22" t="s">
        <v>1149</v>
      </c>
      <c r="D304" s="3">
        <v>25</v>
      </c>
      <c r="E304" s="3">
        <v>12</v>
      </c>
    </row>
    <row r="305" spans="1:5">
      <c r="A305" s="22" t="s">
        <v>1129</v>
      </c>
      <c r="B305" s="22" t="s">
        <v>1130</v>
      </c>
      <c r="C305" s="22" t="s">
        <v>1163</v>
      </c>
      <c r="D305" s="3">
        <v>15</v>
      </c>
      <c r="E305" s="3">
        <v>11</v>
      </c>
    </row>
    <row r="306" spans="1:5">
      <c r="A306" s="22" t="s">
        <v>1129</v>
      </c>
      <c r="B306" s="22" t="s">
        <v>1132</v>
      </c>
      <c r="C306" s="22" t="s">
        <v>1164</v>
      </c>
      <c r="D306" s="3">
        <v>25</v>
      </c>
      <c r="E306" s="3">
        <v>31</v>
      </c>
    </row>
    <row r="307" spans="1:5">
      <c r="A307" s="22" t="s">
        <v>1129</v>
      </c>
      <c r="B307" s="22" t="s">
        <v>1138</v>
      </c>
      <c r="C307" s="22" t="s">
        <v>1137</v>
      </c>
      <c r="D307" s="3">
        <v>73</v>
      </c>
      <c r="E307" s="3">
        <v>45</v>
      </c>
    </row>
    <row r="308" spans="1:5">
      <c r="A308" s="22" t="s">
        <v>1129</v>
      </c>
      <c r="B308" s="22" t="s">
        <v>1138</v>
      </c>
      <c r="C308" s="22" t="s">
        <v>1139</v>
      </c>
      <c r="D308" s="3">
        <v>30</v>
      </c>
      <c r="E308" s="3">
        <v>15</v>
      </c>
    </row>
    <row r="309" spans="1:5">
      <c r="A309" s="22" t="s">
        <v>1129</v>
      </c>
      <c r="B309" s="22" t="s">
        <v>210</v>
      </c>
      <c r="C309" s="22" t="s">
        <v>1168</v>
      </c>
      <c r="D309" s="3">
        <v>92</v>
      </c>
      <c r="E309" s="3">
        <v>68</v>
      </c>
    </row>
    <row r="310" spans="1:5">
      <c r="A310" s="22" t="s">
        <v>1129</v>
      </c>
      <c r="B310" s="22" t="s">
        <v>210</v>
      </c>
      <c r="C310" s="22" t="s">
        <v>1150</v>
      </c>
      <c r="D310" s="3">
        <v>85</v>
      </c>
      <c r="E310" s="3">
        <v>36</v>
      </c>
    </row>
    <row r="311" spans="1:5">
      <c r="A311" s="22" t="s">
        <v>1129</v>
      </c>
      <c r="B311" s="22" t="s">
        <v>210</v>
      </c>
      <c r="C311" s="22" t="s">
        <v>1151</v>
      </c>
      <c r="D311" s="3">
        <v>60</v>
      </c>
      <c r="E311" s="3">
        <v>40</v>
      </c>
    </row>
    <row r="312" spans="1:5">
      <c r="A312" s="22" t="s">
        <v>1129</v>
      </c>
      <c r="B312" s="22" t="s">
        <v>210</v>
      </c>
      <c r="C312" s="22" t="s">
        <v>1152</v>
      </c>
      <c r="D312" s="3">
        <v>30</v>
      </c>
      <c r="E312" s="3">
        <v>21</v>
      </c>
    </row>
    <row r="313" spans="1:5">
      <c r="A313" s="22" t="s">
        <v>1129</v>
      </c>
      <c r="B313" s="22" t="s">
        <v>210</v>
      </c>
      <c r="C313" s="22" t="s">
        <v>1153</v>
      </c>
      <c r="D313" s="3">
        <v>80</v>
      </c>
      <c r="E313" s="3">
        <v>77</v>
      </c>
    </row>
    <row r="314" spans="1:5">
      <c r="A314" s="22" t="s">
        <v>1129</v>
      </c>
      <c r="B314" s="22" t="s">
        <v>210</v>
      </c>
      <c r="C314" s="22" t="s">
        <v>1154</v>
      </c>
      <c r="D314" s="3">
        <v>25</v>
      </c>
      <c r="E314" s="3">
        <v>12</v>
      </c>
    </row>
    <row r="315" spans="1:5">
      <c r="A315" s="22" t="s">
        <v>1129</v>
      </c>
      <c r="B315" s="22" t="s">
        <v>210</v>
      </c>
      <c r="C315" s="22" t="s">
        <v>1155</v>
      </c>
      <c r="D315" s="3">
        <v>82</v>
      </c>
      <c r="E315" s="3">
        <v>45</v>
      </c>
    </row>
    <row r="316" spans="1:5">
      <c r="A316" s="22" t="s">
        <v>1129</v>
      </c>
      <c r="B316" s="22" t="s">
        <v>210</v>
      </c>
      <c r="C316" s="22" t="s">
        <v>1156</v>
      </c>
      <c r="D316" s="3">
        <v>72</v>
      </c>
      <c r="E316" s="3">
        <v>48</v>
      </c>
    </row>
    <row r="317" spans="1:5">
      <c r="A317" s="22" t="s">
        <v>1129</v>
      </c>
      <c r="B317" s="22" t="s">
        <v>210</v>
      </c>
      <c r="C317" s="22" t="s">
        <v>1157</v>
      </c>
      <c r="D317" s="3">
        <v>20</v>
      </c>
      <c r="E317" s="3">
        <v>11</v>
      </c>
    </row>
    <row r="318" spans="1:5">
      <c r="A318" s="22" t="s">
        <v>1129</v>
      </c>
      <c r="B318" s="22" t="s">
        <v>1142</v>
      </c>
      <c r="C318" s="22" t="s">
        <v>1158</v>
      </c>
      <c r="D318" s="3">
        <v>21</v>
      </c>
      <c r="E318" s="3">
        <v>10</v>
      </c>
    </row>
    <row r="319" spans="1:5">
      <c r="A319" s="22" t="s">
        <v>1129</v>
      </c>
      <c r="B319" s="22" t="s">
        <v>1142</v>
      </c>
      <c r="C319" s="22" t="s">
        <v>1159</v>
      </c>
      <c r="D319" s="3">
        <v>50</v>
      </c>
      <c r="E319" s="3">
        <v>45</v>
      </c>
    </row>
    <row r="320" spans="1:5">
      <c r="A320" s="22" t="s">
        <v>1129</v>
      </c>
      <c r="B320" s="22" t="s">
        <v>1142</v>
      </c>
      <c r="C320" s="22" t="s">
        <v>1160</v>
      </c>
      <c r="D320" s="3">
        <v>54</v>
      </c>
      <c r="E320" s="3">
        <v>24</v>
      </c>
    </row>
    <row r="321" spans="1:5">
      <c r="A321" s="22" t="s">
        <v>1129</v>
      </c>
      <c r="B321" s="22" t="s">
        <v>1135</v>
      </c>
      <c r="C321" s="22" t="s">
        <v>1169</v>
      </c>
      <c r="D321" s="3">
        <v>61</v>
      </c>
      <c r="E321" s="3">
        <v>40</v>
      </c>
    </row>
    <row r="322" spans="1:5">
      <c r="A322" s="22" t="s">
        <v>1129</v>
      </c>
      <c r="B322" s="22" t="s">
        <v>1135</v>
      </c>
      <c r="C322" s="22" t="s">
        <v>1170</v>
      </c>
      <c r="D322" s="3">
        <v>38</v>
      </c>
      <c r="E322" s="3">
        <v>44</v>
      </c>
    </row>
    <row r="323" spans="1:5">
      <c r="A323" s="22" t="s">
        <v>1129</v>
      </c>
      <c r="B323" s="22" t="s">
        <v>1135</v>
      </c>
      <c r="C323" s="22" t="s">
        <v>1171</v>
      </c>
      <c r="D323" s="3">
        <v>64</v>
      </c>
      <c r="E323" s="3">
        <v>42</v>
      </c>
    </row>
    <row r="324" spans="1:5">
      <c r="A324" s="22" t="s">
        <v>1129</v>
      </c>
      <c r="B324" s="22" t="s">
        <v>1135</v>
      </c>
      <c r="C324" s="22" t="s">
        <v>1172</v>
      </c>
      <c r="D324" s="3">
        <v>81</v>
      </c>
      <c r="E324" s="3">
        <v>71</v>
      </c>
    </row>
    <row r="325" spans="1:5">
      <c r="A325" s="22" t="s">
        <v>1129</v>
      </c>
      <c r="B325" s="22" t="s">
        <v>1135</v>
      </c>
      <c r="C325" s="22" t="s">
        <v>1173</v>
      </c>
      <c r="D325" s="3">
        <v>51</v>
      </c>
      <c r="E325" s="3">
        <v>65</v>
      </c>
    </row>
    <row r="326" spans="1:5">
      <c r="A326" s="22" t="s">
        <v>1129</v>
      </c>
      <c r="B326" s="22" t="s">
        <v>1135</v>
      </c>
      <c r="C326" s="22" t="s">
        <v>1174</v>
      </c>
      <c r="D326" s="3">
        <v>72</v>
      </c>
      <c r="E326" s="3">
        <v>51</v>
      </c>
    </row>
    <row r="327" spans="1:5">
      <c r="A327" s="22" t="s">
        <v>1129</v>
      </c>
      <c r="B327" s="22" t="s">
        <v>1135</v>
      </c>
      <c r="C327" s="22" t="s">
        <v>1175</v>
      </c>
      <c r="D327" s="3">
        <v>293</v>
      </c>
      <c r="E327" s="3">
        <v>202</v>
      </c>
    </row>
    <row r="328" spans="1:5">
      <c r="A328" s="22" t="s">
        <v>1129</v>
      </c>
      <c r="B328" s="22" t="s">
        <v>1132</v>
      </c>
      <c r="C328" s="22" t="s">
        <v>1161</v>
      </c>
      <c r="D328" s="3">
        <v>48</v>
      </c>
      <c r="E328" s="3">
        <v>35</v>
      </c>
    </row>
    <row r="329" spans="1:5">
      <c r="A329" s="22" t="s">
        <v>1129</v>
      </c>
      <c r="B329" s="22" t="s">
        <v>1132</v>
      </c>
      <c r="C329" s="22" t="s">
        <v>1162</v>
      </c>
      <c r="D329" s="3">
        <v>50</v>
      </c>
      <c r="E329" s="3">
        <v>10</v>
      </c>
    </row>
    <row r="330" spans="1:5" ht="15.75" customHeight="1">
      <c r="A330" s="22" t="s">
        <v>211</v>
      </c>
      <c r="B330" s="23" t="s">
        <v>968</v>
      </c>
      <c r="C330" s="23" t="s">
        <v>968</v>
      </c>
      <c r="D330" s="15">
        <v>952</v>
      </c>
      <c r="E330" s="15">
        <v>571</v>
      </c>
    </row>
    <row r="331" spans="1:5" ht="15.75" customHeight="1">
      <c r="A331" s="22" t="s">
        <v>211</v>
      </c>
      <c r="B331" s="80" t="s">
        <v>969</v>
      </c>
      <c r="C331" s="23" t="s">
        <v>977</v>
      </c>
      <c r="D331" s="15">
        <v>576</v>
      </c>
      <c r="E331" s="15">
        <v>357</v>
      </c>
    </row>
    <row r="332" spans="1:5" ht="15.75" customHeight="1">
      <c r="A332" s="22" t="s">
        <v>211</v>
      </c>
      <c r="B332" s="80"/>
      <c r="C332" s="23" t="s">
        <v>978</v>
      </c>
      <c r="D332" s="15">
        <v>205</v>
      </c>
      <c r="E332" s="15">
        <v>204</v>
      </c>
    </row>
    <row r="333" spans="1:5" ht="15.75" customHeight="1">
      <c r="A333" s="22" t="s">
        <v>211</v>
      </c>
      <c r="B333" s="80" t="s">
        <v>970</v>
      </c>
      <c r="C333" s="23" t="s">
        <v>464</v>
      </c>
      <c r="D333" s="15">
        <v>180</v>
      </c>
      <c r="E333" s="15">
        <v>71</v>
      </c>
    </row>
    <row r="334" spans="1:5" ht="15.75" customHeight="1">
      <c r="A334" s="22" t="s">
        <v>211</v>
      </c>
      <c r="B334" s="80"/>
      <c r="C334" s="23" t="s">
        <v>979</v>
      </c>
      <c r="D334" s="15">
        <v>360</v>
      </c>
      <c r="E334" s="15">
        <v>200</v>
      </c>
    </row>
    <row r="335" spans="1:5" ht="15.75" customHeight="1">
      <c r="A335" s="22" t="s">
        <v>211</v>
      </c>
      <c r="B335" s="80"/>
      <c r="C335" s="23" t="s">
        <v>980</v>
      </c>
      <c r="D335" s="15">
        <v>13</v>
      </c>
      <c r="E335" s="15">
        <v>30</v>
      </c>
    </row>
    <row r="336" spans="1:5" ht="15.75" customHeight="1">
      <c r="A336" s="22" t="s">
        <v>211</v>
      </c>
      <c r="B336" s="80"/>
      <c r="C336" s="23" t="s">
        <v>981</v>
      </c>
      <c r="D336" s="15">
        <v>40</v>
      </c>
      <c r="E336" s="15">
        <v>30</v>
      </c>
    </row>
    <row r="337" spans="1:5" ht="15.75" customHeight="1">
      <c r="A337" s="22" t="s">
        <v>211</v>
      </c>
      <c r="B337" s="80"/>
      <c r="C337" s="23" t="s">
        <v>982</v>
      </c>
      <c r="D337" s="15">
        <v>14</v>
      </c>
      <c r="E337" s="15">
        <v>7</v>
      </c>
    </row>
    <row r="338" spans="1:5" ht="15.75" customHeight="1">
      <c r="A338" s="22" t="s">
        <v>211</v>
      </c>
      <c r="B338" s="80" t="s">
        <v>971</v>
      </c>
      <c r="C338" s="22" t="s">
        <v>983</v>
      </c>
      <c r="D338" s="15">
        <v>156</v>
      </c>
      <c r="E338" s="15">
        <v>22</v>
      </c>
    </row>
    <row r="339" spans="1:5" ht="15.75" customHeight="1">
      <c r="A339" s="22" t="s">
        <v>211</v>
      </c>
      <c r="B339" s="80"/>
      <c r="C339" s="22" t="s">
        <v>984</v>
      </c>
      <c r="D339" s="15">
        <v>70</v>
      </c>
      <c r="E339" s="15">
        <v>25</v>
      </c>
    </row>
    <row r="340" spans="1:5" ht="15.75" customHeight="1">
      <c r="A340" s="22" t="s">
        <v>211</v>
      </c>
      <c r="B340" s="80"/>
      <c r="C340" s="22" t="s">
        <v>985</v>
      </c>
      <c r="D340" s="15">
        <v>40</v>
      </c>
      <c r="E340" s="15">
        <v>9</v>
      </c>
    </row>
    <row r="341" spans="1:5" ht="15.75" customHeight="1">
      <c r="A341" s="22" t="s">
        <v>211</v>
      </c>
      <c r="B341" s="80"/>
      <c r="C341" s="22" t="s">
        <v>986</v>
      </c>
      <c r="D341" s="15">
        <v>24</v>
      </c>
      <c r="E341" s="15">
        <v>17</v>
      </c>
    </row>
    <row r="342" spans="1:5" ht="15.75" customHeight="1">
      <c r="A342" s="22" t="s">
        <v>211</v>
      </c>
      <c r="B342" s="80"/>
      <c r="C342" s="22" t="s">
        <v>987</v>
      </c>
      <c r="D342" s="15">
        <v>101</v>
      </c>
      <c r="E342" s="15">
        <v>42</v>
      </c>
    </row>
    <row r="343" spans="1:5" ht="15.75" customHeight="1">
      <c r="A343" s="22" t="s">
        <v>211</v>
      </c>
      <c r="B343" s="80"/>
      <c r="C343" s="22" t="s">
        <v>988</v>
      </c>
      <c r="D343" s="15">
        <v>70</v>
      </c>
      <c r="E343" s="15">
        <v>21</v>
      </c>
    </row>
    <row r="344" spans="1:5" ht="15.75" customHeight="1">
      <c r="A344" s="22" t="s">
        <v>211</v>
      </c>
      <c r="B344" s="80"/>
      <c r="C344" s="22" t="s">
        <v>989</v>
      </c>
      <c r="D344" s="15">
        <v>40</v>
      </c>
      <c r="E344" s="15">
        <v>32</v>
      </c>
    </row>
    <row r="345" spans="1:5" ht="15.75" customHeight="1">
      <c r="A345" s="22" t="s">
        <v>211</v>
      </c>
      <c r="B345" s="80"/>
      <c r="C345" s="22" t="s">
        <v>990</v>
      </c>
      <c r="D345" s="15">
        <v>43</v>
      </c>
      <c r="E345" s="15">
        <v>16</v>
      </c>
    </row>
    <row r="346" spans="1:5" ht="15.75" customHeight="1">
      <c r="A346" s="22" t="s">
        <v>211</v>
      </c>
      <c r="B346" s="80"/>
      <c r="C346" s="22" t="s">
        <v>991</v>
      </c>
      <c r="D346" s="15">
        <v>36</v>
      </c>
      <c r="E346" s="15">
        <v>10</v>
      </c>
    </row>
    <row r="347" spans="1:5" ht="15.75" customHeight="1">
      <c r="A347" s="22" t="s">
        <v>211</v>
      </c>
      <c r="B347" s="84" t="s">
        <v>972</v>
      </c>
      <c r="C347" s="22" t="s">
        <v>972</v>
      </c>
      <c r="D347" s="15">
        <v>1240</v>
      </c>
      <c r="E347" s="15">
        <v>242</v>
      </c>
    </row>
    <row r="348" spans="1:5" ht="15.75" customHeight="1">
      <c r="A348" s="22" t="s">
        <v>211</v>
      </c>
      <c r="B348" s="84"/>
      <c r="C348" s="22" t="s">
        <v>425</v>
      </c>
      <c r="D348" s="15">
        <v>1180</v>
      </c>
      <c r="E348" s="15">
        <v>358</v>
      </c>
    </row>
    <row r="349" spans="1:5" ht="15.75" customHeight="1">
      <c r="A349" s="22" t="s">
        <v>211</v>
      </c>
      <c r="B349" s="84"/>
      <c r="C349" s="22" t="s">
        <v>992</v>
      </c>
      <c r="D349" s="15">
        <v>741</v>
      </c>
      <c r="E349" s="15">
        <v>101</v>
      </c>
    </row>
    <row r="350" spans="1:5" ht="15.75" customHeight="1">
      <c r="A350" s="22" t="s">
        <v>211</v>
      </c>
      <c r="B350" s="84"/>
      <c r="C350" s="22" t="s">
        <v>993</v>
      </c>
      <c r="D350" s="15">
        <v>984</v>
      </c>
      <c r="E350" s="15">
        <v>242</v>
      </c>
    </row>
    <row r="351" spans="1:5" ht="15.75" customHeight="1">
      <c r="A351" s="22" t="s">
        <v>211</v>
      </c>
      <c r="B351" s="84"/>
      <c r="C351" s="22" t="s">
        <v>994</v>
      </c>
      <c r="D351" s="15">
        <v>885</v>
      </c>
      <c r="E351" s="15">
        <v>270</v>
      </c>
    </row>
    <row r="352" spans="1:5" ht="15.75" customHeight="1">
      <c r="A352" s="22" t="s">
        <v>211</v>
      </c>
      <c r="B352" s="84"/>
      <c r="C352" s="22" t="s">
        <v>995</v>
      </c>
      <c r="D352" s="15">
        <v>32</v>
      </c>
      <c r="E352" s="15">
        <v>17</v>
      </c>
    </row>
    <row r="353" spans="1:5" ht="15.75" customHeight="1">
      <c r="A353" s="22" t="s">
        <v>211</v>
      </c>
      <c r="B353" s="84"/>
      <c r="C353" s="22" t="s">
        <v>996</v>
      </c>
      <c r="D353" s="16">
        <v>70</v>
      </c>
      <c r="E353" s="16">
        <v>21</v>
      </c>
    </row>
    <row r="354" spans="1:5" ht="15.75" customHeight="1">
      <c r="A354" s="22" t="s">
        <v>211</v>
      </c>
      <c r="B354" s="84"/>
      <c r="C354" s="22" t="s">
        <v>997</v>
      </c>
      <c r="D354" s="15">
        <v>38</v>
      </c>
      <c r="E354" s="15">
        <v>20</v>
      </c>
    </row>
    <row r="355" spans="1:5" ht="15.75" customHeight="1">
      <c r="A355" s="22" t="s">
        <v>211</v>
      </c>
      <c r="B355" s="84"/>
      <c r="C355" s="1" t="s">
        <v>998</v>
      </c>
      <c r="D355" s="15">
        <v>40</v>
      </c>
      <c r="E355" s="15">
        <v>43</v>
      </c>
    </row>
    <row r="356" spans="1:5" ht="15.75" customHeight="1">
      <c r="A356" s="22" t="s">
        <v>211</v>
      </c>
      <c r="B356" s="80" t="s">
        <v>973</v>
      </c>
      <c r="C356" s="22" t="s">
        <v>999</v>
      </c>
      <c r="D356" s="15">
        <v>35</v>
      </c>
      <c r="E356" s="15">
        <v>26</v>
      </c>
    </row>
    <row r="357" spans="1:5" ht="15.75" customHeight="1">
      <c r="A357" s="22" t="s">
        <v>211</v>
      </c>
      <c r="B357" s="80"/>
      <c r="C357" s="22" t="s">
        <v>1000</v>
      </c>
      <c r="D357" s="15">
        <v>44</v>
      </c>
      <c r="E357" s="15">
        <v>25</v>
      </c>
    </row>
    <row r="358" spans="1:5" ht="15.75" customHeight="1">
      <c r="A358" s="22" t="s">
        <v>211</v>
      </c>
      <c r="B358" s="80"/>
      <c r="C358" s="22" t="s">
        <v>1001</v>
      </c>
      <c r="D358" s="15">
        <v>60</v>
      </c>
      <c r="E358" s="15">
        <v>23</v>
      </c>
    </row>
    <row r="359" spans="1:5" ht="15.75" customHeight="1">
      <c r="A359" s="22" t="s">
        <v>211</v>
      </c>
      <c r="B359" s="80"/>
      <c r="C359" s="22" t="s">
        <v>1002</v>
      </c>
      <c r="D359" s="15">
        <v>24</v>
      </c>
      <c r="E359" s="15">
        <v>12</v>
      </c>
    </row>
    <row r="360" spans="1:5" ht="15.75" customHeight="1">
      <c r="A360" s="22" t="s">
        <v>211</v>
      </c>
      <c r="B360" s="80"/>
      <c r="C360" s="22" t="s">
        <v>1003</v>
      </c>
      <c r="D360" s="16">
        <v>30</v>
      </c>
      <c r="E360" s="16">
        <v>17</v>
      </c>
    </row>
    <row r="361" spans="1:5" ht="15.75" customHeight="1">
      <c r="A361" s="22" t="s">
        <v>211</v>
      </c>
      <c r="B361" s="80"/>
      <c r="C361" s="22" t="s">
        <v>1004</v>
      </c>
      <c r="D361" s="16">
        <v>30</v>
      </c>
      <c r="E361" s="16">
        <v>16</v>
      </c>
    </row>
    <row r="362" spans="1:5" ht="15.75" customHeight="1">
      <c r="A362" s="22" t="s">
        <v>211</v>
      </c>
      <c r="B362" s="74" t="s">
        <v>974</v>
      </c>
      <c r="C362" s="23" t="s">
        <v>1005</v>
      </c>
      <c r="D362" s="15">
        <v>257</v>
      </c>
      <c r="E362" s="15">
        <v>275</v>
      </c>
    </row>
    <row r="363" spans="1:5" ht="15.75" customHeight="1">
      <c r="A363" s="22" t="s">
        <v>211</v>
      </c>
      <c r="B363" s="84" t="s">
        <v>975</v>
      </c>
      <c r="C363" s="23" t="s">
        <v>1006</v>
      </c>
      <c r="D363" s="15">
        <v>185</v>
      </c>
      <c r="E363" s="15">
        <v>200</v>
      </c>
    </row>
    <row r="364" spans="1:5" ht="15.75" customHeight="1">
      <c r="A364" s="22" t="s">
        <v>211</v>
      </c>
      <c r="B364" s="84"/>
      <c r="C364" s="22" t="s">
        <v>1007</v>
      </c>
      <c r="D364" s="15">
        <v>13</v>
      </c>
      <c r="E364" s="15">
        <v>15</v>
      </c>
    </row>
    <row r="365" spans="1:5" ht="15.75" customHeight="1">
      <c r="A365" s="22" t="s">
        <v>211</v>
      </c>
      <c r="B365" s="84"/>
      <c r="C365" s="22" t="s">
        <v>1008</v>
      </c>
      <c r="D365" s="15">
        <v>13</v>
      </c>
      <c r="E365" s="15">
        <v>7</v>
      </c>
    </row>
    <row r="366" spans="1:5" ht="15.75" customHeight="1">
      <c r="A366" s="22" t="s">
        <v>211</v>
      </c>
      <c r="B366" s="80" t="s">
        <v>976</v>
      </c>
      <c r="C366" s="22" t="s">
        <v>1009</v>
      </c>
      <c r="D366" s="15">
        <v>54</v>
      </c>
      <c r="E366" s="15">
        <v>25</v>
      </c>
    </row>
    <row r="367" spans="1:5" ht="15.75" customHeight="1">
      <c r="A367" s="22" t="s">
        <v>211</v>
      </c>
      <c r="B367" s="80"/>
      <c r="C367" s="22" t="s">
        <v>1010</v>
      </c>
      <c r="D367" s="15">
        <v>37</v>
      </c>
      <c r="E367" s="15">
        <v>13</v>
      </c>
    </row>
    <row r="368" spans="1:5" ht="15.75" customHeight="1">
      <c r="A368" s="22" t="s">
        <v>212</v>
      </c>
      <c r="B368" s="80" t="s">
        <v>212</v>
      </c>
      <c r="C368" s="22" t="s">
        <v>213</v>
      </c>
      <c r="D368" s="24">
        <v>90</v>
      </c>
      <c r="E368" s="24">
        <v>65</v>
      </c>
    </row>
    <row r="369" spans="1:5">
      <c r="A369" s="22" t="s">
        <v>212</v>
      </c>
      <c r="B369" s="80"/>
      <c r="C369" s="22" t="s">
        <v>214</v>
      </c>
      <c r="D369" s="24">
        <v>43</v>
      </c>
      <c r="E369" s="24">
        <v>56</v>
      </c>
    </row>
    <row r="370" spans="1:5">
      <c r="A370" s="22" t="s">
        <v>212</v>
      </c>
      <c r="B370" s="80"/>
      <c r="C370" s="22" t="s">
        <v>215</v>
      </c>
      <c r="D370" s="25">
        <v>288</v>
      </c>
      <c r="E370" s="24">
        <v>147</v>
      </c>
    </row>
    <row r="371" spans="1:5">
      <c r="A371" s="22" t="s">
        <v>212</v>
      </c>
      <c r="B371" s="80"/>
      <c r="C371" s="22" t="s">
        <v>216</v>
      </c>
      <c r="D371" s="24">
        <v>84</v>
      </c>
      <c r="E371" s="24">
        <v>132</v>
      </c>
    </row>
    <row r="372" spans="1:5">
      <c r="A372" s="22" t="s">
        <v>212</v>
      </c>
      <c r="B372" s="80"/>
      <c r="C372" s="22" t="s">
        <v>217</v>
      </c>
      <c r="D372" s="25">
        <v>290</v>
      </c>
      <c r="E372" s="24">
        <v>349</v>
      </c>
    </row>
    <row r="373" spans="1:5">
      <c r="A373" s="22" t="s">
        <v>212</v>
      </c>
      <c r="B373" s="80"/>
      <c r="C373" s="22" t="s">
        <v>218</v>
      </c>
      <c r="D373" s="24">
        <v>303</v>
      </c>
      <c r="E373" s="24">
        <v>341</v>
      </c>
    </row>
    <row r="374" spans="1:5">
      <c r="A374" s="22" t="s">
        <v>212</v>
      </c>
      <c r="B374" s="80"/>
      <c r="C374" s="22" t="s">
        <v>219</v>
      </c>
      <c r="D374" s="24">
        <v>291</v>
      </c>
      <c r="E374" s="24">
        <v>300</v>
      </c>
    </row>
    <row r="375" spans="1:5">
      <c r="A375" s="22" t="s">
        <v>212</v>
      </c>
      <c r="B375" s="80"/>
      <c r="C375" s="22" t="s">
        <v>220</v>
      </c>
      <c r="D375" s="24">
        <v>72</v>
      </c>
      <c r="E375" s="24">
        <v>49</v>
      </c>
    </row>
    <row r="376" spans="1:5">
      <c r="A376" s="22" t="s">
        <v>212</v>
      </c>
      <c r="B376" s="80"/>
      <c r="C376" s="22" t="s">
        <v>221</v>
      </c>
      <c r="D376" s="24">
        <v>72</v>
      </c>
      <c r="E376" s="24">
        <v>44</v>
      </c>
    </row>
    <row r="377" spans="1:5">
      <c r="A377" s="22" t="s">
        <v>212</v>
      </c>
      <c r="B377" s="80"/>
      <c r="C377" s="22" t="s">
        <v>222</v>
      </c>
      <c r="D377" s="24">
        <v>64</v>
      </c>
      <c r="E377" s="24">
        <v>42</v>
      </c>
    </row>
    <row r="378" spans="1:5">
      <c r="A378" s="22" t="s">
        <v>212</v>
      </c>
      <c r="B378" s="80"/>
      <c r="C378" s="22" t="s">
        <v>223</v>
      </c>
      <c r="D378" s="24">
        <v>99</v>
      </c>
      <c r="E378" s="24">
        <v>51</v>
      </c>
    </row>
    <row r="379" spans="1:5">
      <c r="A379" s="22" t="s">
        <v>212</v>
      </c>
      <c r="B379" s="80"/>
      <c r="C379" s="22" t="s">
        <v>224</v>
      </c>
      <c r="D379" s="25">
        <v>66</v>
      </c>
      <c r="E379" s="24">
        <v>51</v>
      </c>
    </row>
    <row r="380" spans="1:5">
      <c r="A380" s="22" t="s">
        <v>212</v>
      </c>
      <c r="B380" s="80"/>
      <c r="C380" s="22" t="s">
        <v>225</v>
      </c>
      <c r="D380" s="24">
        <v>290</v>
      </c>
      <c r="E380" s="24">
        <v>143</v>
      </c>
    </row>
    <row r="381" spans="1:5">
      <c r="A381" s="22" t="s">
        <v>212</v>
      </c>
      <c r="B381" s="80"/>
      <c r="C381" s="22" t="s">
        <v>226</v>
      </c>
      <c r="D381" s="24">
        <v>230</v>
      </c>
      <c r="E381" s="24">
        <v>114</v>
      </c>
    </row>
    <row r="382" spans="1:5">
      <c r="A382" s="22" t="s">
        <v>212</v>
      </c>
      <c r="B382" s="80"/>
      <c r="C382" s="22" t="s">
        <v>227</v>
      </c>
      <c r="D382" s="24">
        <v>84</v>
      </c>
      <c r="E382" s="24">
        <v>36</v>
      </c>
    </row>
    <row r="383" spans="1:5">
      <c r="A383" s="22" t="s">
        <v>212</v>
      </c>
      <c r="B383" s="80"/>
      <c r="C383" s="22" t="s">
        <v>228</v>
      </c>
      <c r="D383" s="24">
        <v>29</v>
      </c>
      <c r="E383" s="24">
        <v>9</v>
      </c>
    </row>
    <row r="384" spans="1:5">
      <c r="A384" s="22" t="s">
        <v>212</v>
      </c>
      <c r="B384" s="80"/>
      <c r="C384" s="22" t="s">
        <v>229</v>
      </c>
      <c r="D384" s="24">
        <v>105</v>
      </c>
      <c r="E384" s="24">
        <v>90</v>
      </c>
    </row>
    <row r="385" spans="1:5" ht="31.5">
      <c r="A385" s="22" t="s">
        <v>212</v>
      </c>
      <c r="B385" s="80"/>
      <c r="C385" s="22" t="s">
        <v>230</v>
      </c>
      <c r="D385" s="24">
        <v>68</v>
      </c>
      <c r="E385" s="24">
        <v>60</v>
      </c>
    </row>
    <row r="386" spans="1:5" ht="31.5">
      <c r="A386" s="22" t="s">
        <v>212</v>
      </c>
      <c r="B386" s="80"/>
      <c r="C386" s="22" t="s">
        <v>231</v>
      </c>
      <c r="D386" s="24">
        <v>70</v>
      </c>
      <c r="E386" s="24">
        <v>61</v>
      </c>
    </row>
    <row r="387" spans="1:5">
      <c r="A387" s="22" t="s">
        <v>212</v>
      </c>
      <c r="B387" s="80"/>
      <c r="C387" s="22" t="s">
        <v>232</v>
      </c>
      <c r="D387" s="24">
        <v>35</v>
      </c>
      <c r="E387" s="24">
        <v>10</v>
      </c>
    </row>
    <row r="388" spans="1:5">
      <c r="A388" s="22" t="s">
        <v>212</v>
      </c>
      <c r="B388" s="80"/>
      <c r="C388" s="22" t="s">
        <v>233</v>
      </c>
      <c r="D388" s="24">
        <v>33</v>
      </c>
      <c r="E388" s="24">
        <v>46</v>
      </c>
    </row>
    <row r="389" spans="1:5">
      <c r="A389" s="22" t="s">
        <v>212</v>
      </c>
      <c r="B389" s="80"/>
      <c r="C389" s="22" t="s">
        <v>234</v>
      </c>
      <c r="D389" s="24">
        <v>68</v>
      </c>
      <c r="E389" s="24">
        <v>60</v>
      </c>
    </row>
    <row r="390" spans="1:5" ht="48" customHeight="1">
      <c r="A390" s="22" t="s">
        <v>212</v>
      </c>
      <c r="B390" s="78" t="s">
        <v>1078</v>
      </c>
      <c r="C390" s="22" t="s">
        <v>235</v>
      </c>
      <c r="D390" s="24">
        <v>50</v>
      </c>
      <c r="E390" s="24">
        <v>7</v>
      </c>
    </row>
    <row r="391" spans="1:5">
      <c r="A391" s="22" t="s">
        <v>212</v>
      </c>
      <c r="B391" s="78"/>
      <c r="C391" s="22" t="s">
        <v>236</v>
      </c>
      <c r="D391" s="24">
        <v>94</v>
      </c>
      <c r="E391" s="24">
        <v>380</v>
      </c>
    </row>
    <row r="392" spans="1:5">
      <c r="A392" s="22" t="s">
        <v>212</v>
      </c>
      <c r="B392" s="78"/>
      <c r="C392" s="22" t="s">
        <v>237</v>
      </c>
      <c r="D392" s="24">
        <v>92</v>
      </c>
      <c r="E392" s="24">
        <v>337</v>
      </c>
    </row>
    <row r="393" spans="1:5">
      <c r="A393" s="22" t="s">
        <v>212</v>
      </c>
      <c r="B393" s="78"/>
      <c r="C393" s="22" t="s">
        <v>238</v>
      </c>
      <c r="D393" s="24">
        <v>45</v>
      </c>
      <c r="E393" s="24">
        <v>140</v>
      </c>
    </row>
    <row r="394" spans="1:5">
      <c r="A394" s="22" t="s">
        <v>212</v>
      </c>
      <c r="B394" s="78"/>
      <c r="C394" s="22" t="s">
        <v>239</v>
      </c>
      <c r="D394" s="24">
        <v>58</v>
      </c>
      <c r="E394" s="24">
        <v>120</v>
      </c>
    </row>
    <row r="395" spans="1:5">
      <c r="A395" s="22" t="s">
        <v>212</v>
      </c>
      <c r="B395" s="78"/>
      <c r="C395" s="22" t="s">
        <v>240</v>
      </c>
      <c r="D395" s="24">
        <v>53</v>
      </c>
      <c r="E395" s="24">
        <v>112</v>
      </c>
    </row>
    <row r="396" spans="1:5">
      <c r="A396" s="22" t="s">
        <v>212</v>
      </c>
      <c r="B396" s="78"/>
      <c r="C396" s="22" t="s">
        <v>241</v>
      </c>
      <c r="D396" s="24">
        <v>104</v>
      </c>
      <c r="E396" s="24">
        <v>168</v>
      </c>
    </row>
    <row r="397" spans="1:5">
      <c r="A397" s="22" t="s">
        <v>212</v>
      </c>
      <c r="B397" s="78"/>
      <c r="C397" s="22" t="s">
        <v>242</v>
      </c>
      <c r="D397" s="24">
        <v>55</v>
      </c>
      <c r="E397" s="24">
        <v>302</v>
      </c>
    </row>
    <row r="398" spans="1:5">
      <c r="A398" s="22" t="s">
        <v>212</v>
      </c>
      <c r="B398" s="78"/>
      <c r="C398" s="22" t="s">
        <v>243</v>
      </c>
      <c r="D398" s="25">
        <v>340</v>
      </c>
      <c r="E398" s="24">
        <v>895</v>
      </c>
    </row>
    <row r="399" spans="1:5">
      <c r="A399" s="22" t="s">
        <v>212</v>
      </c>
      <c r="B399" s="78"/>
      <c r="C399" s="22" t="s">
        <v>244</v>
      </c>
      <c r="D399" s="24">
        <v>145</v>
      </c>
      <c r="E399" s="24">
        <v>657</v>
      </c>
    </row>
    <row r="400" spans="1:5">
      <c r="A400" s="22" t="s">
        <v>212</v>
      </c>
      <c r="B400" s="78"/>
      <c r="C400" s="22" t="s">
        <v>221</v>
      </c>
      <c r="D400" s="24">
        <v>38</v>
      </c>
      <c r="E400" s="24">
        <v>40</v>
      </c>
    </row>
    <row r="401" spans="1:5">
      <c r="A401" s="22" t="s">
        <v>212</v>
      </c>
      <c r="B401" s="78"/>
      <c r="C401" s="22" t="s">
        <v>245</v>
      </c>
      <c r="D401" s="24">
        <v>73</v>
      </c>
      <c r="E401" s="24">
        <v>59</v>
      </c>
    </row>
    <row r="402" spans="1:5">
      <c r="A402" s="22" t="s">
        <v>212</v>
      </c>
      <c r="B402" s="78"/>
      <c r="C402" s="22" t="s">
        <v>246</v>
      </c>
      <c r="D402" s="24">
        <v>25</v>
      </c>
      <c r="E402" s="24">
        <v>25</v>
      </c>
    </row>
    <row r="403" spans="1:5">
      <c r="A403" s="22" t="s">
        <v>212</v>
      </c>
      <c r="B403" s="78"/>
      <c r="C403" s="22" t="s">
        <v>247</v>
      </c>
      <c r="D403" s="24">
        <v>15</v>
      </c>
      <c r="E403" s="24">
        <v>15</v>
      </c>
    </row>
    <row r="404" spans="1:5">
      <c r="A404" s="22" t="s">
        <v>212</v>
      </c>
      <c r="B404" s="78"/>
      <c r="C404" s="22" t="s">
        <v>248</v>
      </c>
      <c r="D404" s="24">
        <v>20</v>
      </c>
      <c r="E404" s="24">
        <v>20</v>
      </c>
    </row>
    <row r="405" spans="1:5">
      <c r="A405" s="22" t="s">
        <v>212</v>
      </c>
      <c r="B405" s="78"/>
      <c r="C405" s="22" t="s">
        <v>249</v>
      </c>
      <c r="D405" s="24">
        <v>50</v>
      </c>
      <c r="E405" s="24">
        <v>35</v>
      </c>
    </row>
    <row r="406" spans="1:5">
      <c r="A406" s="22" t="s">
        <v>212</v>
      </c>
      <c r="B406" s="78"/>
      <c r="C406" s="22" t="s">
        <v>250</v>
      </c>
      <c r="D406" s="24">
        <v>88</v>
      </c>
      <c r="E406" s="25">
        <v>59</v>
      </c>
    </row>
    <row r="407" spans="1:5">
      <c r="A407" s="22" t="s">
        <v>212</v>
      </c>
      <c r="B407" s="80" t="s">
        <v>760</v>
      </c>
      <c r="C407" s="22" t="s">
        <v>251</v>
      </c>
      <c r="D407" s="24">
        <v>211</v>
      </c>
      <c r="E407" s="24">
        <v>224</v>
      </c>
    </row>
    <row r="408" spans="1:5">
      <c r="A408" s="22" t="s">
        <v>212</v>
      </c>
      <c r="B408" s="80"/>
      <c r="C408" s="22" t="s">
        <v>252</v>
      </c>
      <c r="D408" s="24">
        <v>111</v>
      </c>
      <c r="E408" s="24">
        <v>188</v>
      </c>
    </row>
    <row r="409" spans="1:5">
      <c r="A409" s="22" t="s">
        <v>212</v>
      </c>
      <c r="B409" s="80"/>
      <c r="C409" s="22" t="s">
        <v>253</v>
      </c>
      <c r="D409" s="24">
        <v>126</v>
      </c>
      <c r="E409" s="24">
        <v>98</v>
      </c>
    </row>
    <row r="410" spans="1:5">
      <c r="A410" s="22" t="s">
        <v>212</v>
      </c>
      <c r="B410" s="80"/>
      <c r="C410" s="22" t="s">
        <v>254</v>
      </c>
      <c r="D410" s="24">
        <v>48</v>
      </c>
      <c r="E410" s="24">
        <v>48</v>
      </c>
    </row>
    <row r="411" spans="1:5">
      <c r="A411" s="22" t="s">
        <v>212</v>
      </c>
      <c r="B411" s="80"/>
      <c r="C411" s="22" t="s">
        <v>255</v>
      </c>
      <c r="D411" s="24">
        <v>15</v>
      </c>
      <c r="E411" s="24">
        <v>5</v>
      </c>
    </row>
    <row r="412" spans="1:5">
      <c r="A412" s="22" t="s">
        <v>212</v>
      </c>
      <c r="B412" s="80"/>
      <c r="C412" s="22" t="s">
        <v>256</v>
      </c>
      <c r="D412" s="24">
        <v>10</v>
      </c>
      <c r="E412" s="24">
        <v>19</v>
      </c>
    </row>
    <row r="413" spans="1:5">
      <c r="A413" s="22" t="s">
        <v>212</v>
      </c>
      <c r="B413" s="80"/>
      <c r="C413" s="22" t="s">
        <v>257</v>
      </c>
      <c r="D413" s="24">
        <v>10</v>
      </c>
      <c r="E413" s="24">
        <v>10</v>
      </c>
    </row>
    <row r="414" spans="1:5">
      <c r="A414" s="22" t="s">
        <v>212</v>
      </c>
      <c r="B414" s="80"/>
      <c r="C414" s="22" t="s">
        <v>258</v>
      </c>
      <c r="D414" s="24">
        <v>143</v>
      </c>
      <c r="E414" s="24">
        <v>112</v>
      </c>
    </row>
    <row r="415" spans="1:5">
      <c r="A415" s="22" t="s">
        <v>212</v>
      </c>
      <c r="B415" s="80" t="s">
        <v>1079</v>
      </c>
      <c r="C415" s="22" t="s">
        <v>130</v>
      </c>
      <c r="D415" s="25">
        <v>280</v>
      </c>
      <c r="E415" s="24">
        <v>248</v>
      </c>
    </row>
    <row r="416" spans="1:5">
      <c r="A416" s="22" t="s">
        <v>212</v>
      </c>
      <c r="B416" s="80"/>
      <c r="C416" s="22" t="s">
        <v>259</v>
      </c>
      <c r="D416" s="24">
        <v>210</v>
      </c>
      <c r="E416" s="24">
        <v>140</v>
      </c>
    </row>
    <row r="417" spans="1:5">
      <c r="A417" s="22" t="s">
        <v>212</v>
      </c>
      <c r="B417" s="80"/>
      <c r="C417" s="22" t="s">
        <v>260</v>
      </c>
      <c r="D417" s="24">
        <v>340</v>
      </c>
      <c r="E417" s="24">
        <v>300</v>
      </c>
    </row>
    <row r="418" spans="1:5">
      <c r="A418" s="22" t="s">
        <v>212</v>
      </c>
      <c r="B418" s="80"/>
      <c r="C418" s="22" t="s">
        <v>261</v>
      </c>
      <c r="D418" s="24">
        <v>40</v>
      </c>
      <c r="E418" s="24">
        <v>36</v>
      </c>
    </row>
    <row r="419" spans="1:5">
      <c r="A419" s="22" t="s">
        <v>212</v>
      </c>
      <c r="B419" s="80"/>
      <c r="C419" s="22" t="s">
        <v>262</v>
      </c>
      <c r="D419" s="24">
        <v>20</v>
      </c>
      <c r="E419" s="24">
        <v>79</v>
      </c>
    </row>
    <row r="420" spans="1:5">
      <c r="A420" s="22" t="s">
        <v>212</v>
      </c>
      <c r="B420" s="80"/>
      <c r="C420" s="22" t="s">
        <v>263</v>
      </c>
      <c r="D420" s="24">
        <v>200</v>
      </c>
      <c r="E420" s="24">
        <v>97</v>
      </c>
    </row>
    <row r="421" spans="1:5">
      <c r="A421" s="22" t="s">
        <v>212</v>
      </c>
      <c r="B421" s="80"/>
      <c r="C421" s="22" t="s">
        <v>264</v>
      </c>
      <c r="D421" s="24">
        <v>120</v>
      </c>
      <c r="E421" s="24">
        <v>60</v>
      </c>
    </row>
    <row r="422" spans="1:5">
      <c r="A422" s="22" t="s">
        <v>212</v>
      </c>
      <c r="B422" s="80"/>
      <c r="C422" s="22" t="s">
        <v>265</v>
      </c>
      <c r="D422" s="24">
        <v>120</v>
      </c>
      <c r="E422" s="24">
        <v>60</v>
      </c>
    </row>
    <row r="423" spans="1:5">
      <c r="A423" s="22" t="s">
        <v>212</v>
      </c>
      <c r="B423" s="80"/>
      <c r="C423" s="22" t="s">
        <v>266</v>
      </c>
      <c r="D423" s="25">
        <v>50</v>
      </c>
      <c r="E423" s="24">
        <v>13</v>
      </c>
    </row>
    <row r="424" spans="1:5">
      <c r="A424" s="22" t="s">
        <v>212</v>
      </c>
      <c r="B424" s="80"/>
      <c r="C424" s="22" t="s">
        <v>267</v>
      </c>
      <c r="D424" s="24">
        <v>70</v>
      </c>
      <c r="E424" s="24">
        <v>35</v>
      </c>
    </row>
    <row r="425" spans="1:5">
      <c r="A425" s="22" t="s">
        <v>212</v>
      </c>
      <c r="B425" s="80"/>
      <c r="C425" s="22" t="s">
        <v>268</v>
      </c>
      <c r="D425" s="24">
        <v>47</v>
      </c>
      <c r="E425" s="24">
        <v>17</v>
      </c>
    </row>
    <row r="426" spans="1:5">
      <c r="A426" s="22" t="s">
        <v>212</v>
      </c>
      <c r="B426" s="80" t="s">
        <v>1080</v>
      </c>
      <c r="C426" s="22" t="s">
        <v>269</v>
      </c>
      <c r="D426" s="24">
        <v>72</v>
      </c>
      <c r="E426" s="24">
        <v>63</v>
      </c>
    </row>
    <row r="427" spans="1:5">
      <c r="A427" s="22" t="s">
        <v>212</v>
      </c>
      <c r="B427" s="80"/>
      <c r="C427" s="22" t="s">
        <v>270</v>
      </c>
      <c r="D427" s="24">
        <v>48</v>
      </c>
      <c r="E427" s="24">
        <v>69</v>
      </c>
    </row>
    <row r="428" spans="1:5">
      <c r="A428" s="22" t="s">
        <v>212</v>
      </c>
      <c r="B428" s="80"/>
      <c r="C428" s="22" t="s">
        <v>271</v>
      </c>
      <c r="D428" s="24">
        <v>78</v>
      </c>
      <c r="E428" s="24">
        <v>78</v>
      </c>
    </row>
    <row r="429" spans="1:5">
      <c r="A429" s="22" t="s">
        <v>212</v>
      </c>
      <c r="B429" s="80"/>
      <c r="C429" s="22" t="s">
        <v>272</v>
      </c>
      <c r="D429" s="24">
        <v>66</v>
      </c>
      <c r="E429" s="24">
        <v>66</v>
      </c>
    </row>
    <row r="430" spans="1:5">
      <c r="A430" s="22" t="s">
        <v>212</v>
      </c>
      <c r="B430" s="80"/>
      <c r="C430" s="22" t="s">
        <v>273</v>
      </c>
      <c r="D430" s="24">
        <v>54</v>
      </c>
      <c r="E430" s="24">
        <v>54</v>
      </c>
    </row>
    <row r="431" spans="1:5">
      <c r="A431" s="22" t="s">
        <v>212</v>
      </c>
      <c r="B431" s="80"/>
      <c r="C431" s="22" t="s">
        <v>274</v>
      </c>
      <c r="D431" s="24">
        <v>64</v>
      </c>
      <c r="E431" s="24">
        <v>64</v>
      </c>
    </row>
    <row r="432" spans="1:5">
      <c r="A432" s="22" t="s">
        <v>212</v>
      </c>
      <c r="B432" s="80"/>
      <c r="C432" s="22" t="s">
        <v>275</v>
      </c>
      <c r="D432" s="24">
        <v>54</v>
      </c>
      <c r="E432" s="24">
        <v>54</v>
      </c>
    </row>
    <row r="433" spans="1:5">
      <c r="A433" s="22" t="s">
        <v>212</v>
      </c>
      <c r="B433" s="80"/>
      <c r="C433" s="22" t="s">
        <v>276</v>
      </c>
      <c r="D433" s="24">
        <v>62</v>
      </c>
      <c r="E433" s="24">
        <v>62</v>
      </c>
    </row>
    <row r="434" spans="1:5">
      <c r="A434" s="22" t="s">
        <v>212</v>
      </c>
      <c r="B434" s="80"/>
      <c r="C434" s="22" t="s">
        <v>277</v>
      </c>
      <c r="D434" s="25">
        <v>41</v>
      </c>
      <c r="E434" s="24">
        <v>40</v>
      </c>
    </row>
    <row r="435" spans="1:5">
      <c r="A435" s="22" t="s">
        <v>212</v>
      </c>
      <c r="B435" s="80"/>
      <c r="C435" s="22" t="s">
        <v>278</v>
      </c>
      <c r="D435" s="24">
        <v>54</v>
      </c>
      <c r="E435" s="24">
        <v>54</v>
      </c>
    </row>
    <row r="436" spans="1:5">
      <c r="A436" s="22" t="s">
        <v>212</v>
      </c>
      <c r="B436" s="80"/>
      <c r="C436" s="22" t="s">
        <v>279</v>
      </c>
      <c r="D436" s="24">
        <v>52</v>
      </c>
      <c r="E436" s="24">
        <v>52</v>
      </c>
    </row>
    <row r="437" spans="1:5">
      <c r="A437" s="22" t="s">
        <v>212</v>
      </c>
      <c r="B437" s="80"/>
      <c r="C437" s="22" t="s">
        <v>280</v>
      </c>
      <c r="D437" s="24">
        <v>25</v>
      </c>
      <c r="E437" s="24">
        <v>25</v>
      </c>
    </row>
    <row r="438" spans="1:5">
      <c r="A438" s="22" t="s">
        <v>212</v>
      </c>
      <c r="B438" s="80"/>
      <c r="C438" s="22" t="s">
        <v>281</v>
      </c>
      <c r="D438" s="24">
        <v>81</v>
      </c>
      <c r="E438" s="24">
        <v>10</v>
      </c>
    </row>
    <row r="439" spans="1:5">
      <c r="A439" s="22" t="s">
        <v>212</v>
      </c>
      <c r="B439" s="80"/>
      <c r="C439" s="22" t="s">
        <v>282</v>
      </c>
      <c r="D439" s="24">
        <v>75</v>
      </c>
      <c r="E439" s="24">
        <v>75</v>
      </c>
    </row>
    <row r="440" spans="1:5">
      <c r="A440" s="22" t="s">
        <v>212</v>
      </c>
      <c r="B440" s="80"/>
      <c r="C440" s="22" t="s">
        <v>283</v>
      </c>
      <c r="D440" s="24"/>
      <c r="E440" s="24"/>
    </row>
    <row r="441" spans="1:5">
      <c r="A441" s="22" t="s">
        <v>212</v>
      </c>
      <c r="B441" s="80"/>
      <c r="C441" s="22" t="s">
        <v>284</v>
      </c>
      <c r="D441" s="24"/>
      <c r="E441" s="24"/>
    </row>
    <row r="442" spans="1:5">
      <c r="A442" s="22" t="s">
        <v>212</v>
      </c>
      <c r="B442" s="80"/>
      <c r="C442" s="22" t="s">
        <v>285</v>
      </c>
      <c r="D442" s="24">
        <v>60</v>
      </c>
      <c r="E442" s="24">
        <v>20</v>
      </c>
    </row>
    <row r="443" spans="1:5">
      <c r="A443" s="22" t="s">
        <v>212</v>
      </c>
      <c r="B443" s="80"/>
      <c r="C443" s="22" t="s">
        <v>286</v>
      </c>
      <c r="D443" s="24">
        <v>60</v>
      </c>
      <c r="E443" s="24">
        <v>28</v>
      </c>
    </row>
    <row r="444" spans="1:5">
      <c r="A444" s="22" t="s">
        <v>212</v>
      </c>
      <c r="B444" s="80" t="s">
        <v>1081</v>
      </c>
      <c r="C444" s="22" t="s">
        <v>287</v>
      </c>
      <c r="D444" s="24">
        <v>80</v>
      </c>
      <c r="E444" s="24">
        <v>128</v>
      </c>
    </row>
    <row r="445" spans="1:5">
      <c r="A445" s="22" t="s">
        <v>212</v>
      </c>
      <c r="B445" s="80"/>
      <c r="C445" s="22" t="s">
        <v>288</v>
      </c>
      <c r="D445" s="24">
        <v>30</v>
      </c>
      <c r="E445" s="24">
        <v>81</v>
      </c>
    </row>
    <row r="446" spans="1:5">
      <c r="A446" s="22" t="s">
        <v>212</v>
      </c>
      <c r="B446" s="80"/>
      <c r="C446" s="22" t="s">
        <v>289</v>
      </c>
      <c r="D446" s="24">
        <v>150</v>
      </c>
      <c r="E446" s="24">
        <v>75</v>
      </c>
    </row>
    <row r="447" spans="1:5">
      <c r="A447" s="22" t="s">
        <v>212</v>
      </c>
      <c r="B447" s="80"/>
      <c r="C447" s="22" t="s">
        <v>290</v>
      </c>
      <c r="D447" s="24">
        <v>50</v>
      </c>
      <c r="E447" s="24">
        <v>50</v>
      </c>
    </row>
    <row r="448" spans="1:5">
      <c r="A448" s="22" t="s">
        <v>212</v>
      </c>
      <c r="B448" s="80"/>
      <c r="C448" s="22" t="s">
        <v>291</v>
      </c>
      <c r="D448" s="24">
        <v>40</v>
      </c>
      <c r="E448" s="24">
        <v>25</v>
      </c>
    </row>
    <row r="449" spans="1:5">
      <c r="A449" s="22" t="s">
        <v>212</v>
      </c>
      <c r="B449" s="80"/>
      <c r="C449" s="22" t="s">
        <v>292</v>
      </c>
      <c r="D449" s="24">
        <v>52</v>
      </c>
      <c r="E449" s="24">
        <v>204</v>
      </c>
    </row>
    <row r="450" spans="1:5">
      <c r="A450" s="22" t="s">
        <v>212</v>
      </c>
      <c r="B450" s="80"/>
      <c r="C450" s="22" t="s">
        <v>293</v>
      </c>
      <c r="D450" s="24">
        <v>25</v>
      </c>
      <c r="E450" s="24">
        <v>116</v>
      </c>
    </row>
    <row r="451" spans="1:5">
      <c r="A451" s="22" t="s">
        <v>212</v>
      </c>
      <c r="B451" s="80"/>
      <c r="C451" s="22" t="s">
        <v>294</v>
      </c>
      <c r="D451" s="24">
        <v>208</v>
      </c>
      <c r="E451" s="24">
        <v>52</v>
      </c>
    </row>
    <row r="452" spans="1:5">
      <c r="A452" s="22" t="s">
        <v>295</v>
      </c>
      <c r="B452" s="66" t="s">
        <v>1026</v>
      </c>
      <c r="C452" s="66" t="s">
        <v>296</v>
      </c>
      <c r="D452" s="67">
        <v>195</v>
      </c>
      <c r="E452" s="67">
        <v>29</v>
      </c>
    </row>
    <row r="453" spans="1:5">
      <c r="A453" s="22" t="s">
        <v>300</v>
      </c>
      <c r="B453" s="83" t="s">
        <v>1227</v>
      </c>
      <c r="C453" s="72" t="s">
        <v>301</v>
      </c>
      <c r="D453" s="70">
        <v>10</v>
      </c>
      <c r="E453" s="70">
        <v>21</v>
      </c>
    </row>
    <row r="454" spans="1:5">
      <c r="A454" s="22" t="s">
        <v>300</v>
      </c>
      <c r="B454" s="83"/>
      <c r="C454" s="72" t="s">
        <v>302</v>
      </c>
      <c r="D454" s="70">
        <v>70</v>
      </c>
      <c r="E454" s="70">
        <v>16</v>
      </c>
    </row>
    <row r="455" spans="1:5">
      <c r="A455" s="22" t="s">
        <v>300</v>
      </c>
      <c r="B455" s="83"/>
      <c r="C455" s="72" t="s">
        <v>303</v>
      </c>
      <c r="D455" s="70">
        <v>24</v>
      </c>
      <c r="E455" s="70">
        <v>33</v>
      </c>
    </row>
    <row r="456" spans="1:5">
      <c r="A456" s="22" t="s">
        <v>300</v>
      </c>
      <c r="B456" s="83"/>
      <c r="C456" s="72" t="s">
        <v>304</v>
      </c>
      <c r="D456" s="70">
        <v>36</v>
      </c>
      <c r="E456" s="70">
        <v>38</v>
      </c>
    </row>
    <row r="457" spans="1:5">
      <c r="A457" s="22" t="s">
        <v>300</v>
      </c>
      <c r="B457" s="83"/>
      <c r="C457" s="72" t="s">
        <v>305</v>
      </c>
      <c r="D457" s="70">
        <v>50</v>
      </c>
      <c r="E457" s="70">
        <v>54</v>
      </c>
    </row>
    <row r="458" spans="1:5">
      <c r="A458" s="22" t="s">
        <v>300</v>
      </c>
      <c r="B458" s="83"/>
      <c r="C458" s="72" t="s">
        <v>306</v>
      </c>
      <c r="D458" s="70">
        <v>36</v>
      </c>
      <c r="E458" s="70">
        <v>64</v>
      </c>
    </row>
    <row r="459" spans="1:5">
      <c r="A459" s="22" t="s">
        <v>300</v>
      </c>
      <c r="B459" s="83"/>
      <c r="C459" s="72" t="s">
        <v>307</v>
      </c>
      <c r="D459" s="70">
        <v>25</v>
      </c>
      <c r="E459" s="70">
        <v>42</v>
      </c>
    </row>
    <row r="460" spans="1:5">
      <c r="A460" s="22" t="s">
        <v>300</v>
      </c>
      <c r="B460" s="83"/>
      <c r="C460" s="72" t="s">
        <v>308</v>
      </c>
      <c r="D460" s="70">
        <v>66</v>
      </c>
      <c r="E460" s="70">
        <v>67</v>
      </c>
    </row>
    <row r="461" spans="1:5">
      <c r="A461" s="22" t="s">
        <v>300</v>
      </c>
      <c r="B461" s="83"/>
      <c r="C461" s="72" t="s">
        <v>298</v>
      </c>
      <c r="D461" s="70">
        <v>28</v>
      </c>
      <c r="E461" s="70">
        <v>24</v>
      </c>
    </row>
    <row r="462" spans="1:5">
      <c r="A462" s="22" t="s">
        <v>300</v>
      </c>
      <c r="B462" s="83"/>
      <c r="C462" s="72" t="s">
        <v>309</v>
      </c>
      <c r="D462" s="70">
        <v>44</v>
      </c>
      <c r="E462" s="70">
        <v>53</v>
      </c>
    </row>
    <row r="463" spans="1:5">
      <c r="A463" s="22" t="s">
        <v>300</v>
      </c>
      <c r="B463" s="83"/>
      <c r="C463" s="72" t="s">
        <v>310</v>
      </c>
      <c r="D463" s="70">
        <v>40</v>
      </c>
      <c r="E463" s="70">
        <v>59</v>
      </c>
    </row>
    <row r="464" spans="1:5">
      <c r="A464" s="22" t="s">
        <v>300</v>
      </c>
      <c r="B464" s="83"/>
      <c r="C464" s="72" t="s">
        <v>311</v>
      </c>
      <c r="D464" s="70">
        <v>30</v>
      </c>
      <c r="E464" s="70">
        <v>21</v>
      </c>
    </row>
    <row r="465" spans="1:5">
      <c r="A465" s="22" t="s">
        <v>300</v>
      </c>
      <c r="B465" s="83"/>
      <c r="C465" s="72" t="s">
        <v>299</v>
      </c>
      <c r="D465" s="70">
        <v>8</v>
      </c>
      <c r="E465" s="70">
        <v>55</v>
      </c>
    </row>
    <row r="466" spans="1:5">
      <c r="A466" s="22" t="s">
        <v>300</v>
      </c>
      <c r="B466" s="83"/>
      <c r="C466" s="72" t="s">
        <v>312</v>
      </c>
      <c r="D466" s="70">
        <v>32</v>
      </c>
      <c r="E466" s="70">
        <v>33</v>
      </c>
    </row>
    <row r="467" spans="1:5">
      <c r="A467" s="22" t="s">
        <v>300</v>
      </c>
      <c r="B467" s="83"/>
      <c r="C467" s="72" t="s">
        <v>313</v>
      </c>
      <c r="D467" s="70">
        <v>30</v>
      </c>
      <c r="E467" s="70">
        <v>35</v>
      </c>
    </row>
    <row r="468" spans="1:5">
      <c r="A468" s="22" t="s">
        <v>300</v>
      </c>
      <c r="B468" s="83"/>
      <c r="C468" s="72" t="s">
        <v>314</v>
      </c>
      <c r="D468" s="70">
        <v>70</v>
      </c>
      <c r="E468" s="70">
        <v>47</v>
      </c>
    </row>
    <row r="469" spans="1:5">
      <c r="A469" s="22" t="s">
        <v>300</v>
      </c>
      <c r="B469" s="83"/>
      <c r="C469" s="72" t="s">
        <v>315</v>
      </c>
      <c r="D469" s="70">
        <v>30</v>
      </c>
      <c r="E469" s="70">
        <v>39</v>
      </c>
    </row>
    <row r="470" spans="1:5">
      <c r="A470" s="22" t="s">
        <v>300</v>
      </c>
      <c r="B470" s="83"/>
      <c r="C470" s="72" t="s">
        <v>316</v>
      </c>
      <c r="D470" s="70">
        <v>30</v>
      </c>
      <c r="E470" s="70">
        <v>19</v>
      </c>
    </row>
    <row r="471" spans="1:5">
      <c r="A471" s="22" t="s">
        <v>300</v>
      </c>
      <c r="B471" s="83"/>
      <c r="C471" s="72" t="s">
        <v>317</v>
      </c>
      <c r="D471" s="70">
        <v>10</v>
      </c>
      <c r="E471" s="70">
        <v>36</v>
      </c>
    </row>
    <row r="472" spans="1:5">
      <c r="A472" s="22" t="s">
        <v>300</v>
      </c>
      <c r="B472" s="83" t="s">
        <v>1338</v>
      </c>
      <c r="C472" s="72" t="s">
        <v>318</v>
      </c>
      <c r="D472" s="70">
        <v>30</v>
      </c>
      <c r="E472" s="70">
        <v>34</v>
      </c>
    </row>
    <row r="473" spans="1:5">
      <c r="A473" s="22" t="s">
        <v>300</v>
      </c>
      <c r="B473" s="83"/>
      <c r="C473" s="72" t="s">
        <v>319</v>
      </c>
      <c r="D473" s="70">
        <v>80</v>
      </c>
      <c r="E473" s="70">
        <v>65</v>
      </c>
    </row>
    <row r="474" spans="1:5">
      <c r="A474" s="22" t="s">
        <v>300</v>
      </c>
      <c r="B474" s="83"/>
      <c r="C474" s="72" t="s">
        <v>320</v>
      </c>
      <c r="D474" s="70">
        <v>40</v>
      </c>
      <c r="E474" s="70">
        <v>57</v>
      </c>
    </row>
    <row r="475" spans="1:5">
      <c r="A475" s="22" t="s">
        <v>300</v>
      </c>
      <c r="B475" s="83"/>
      <c r="C475" s="72" t="s">
        <v>321</v>
      </c>
      <c r="D475" s="70">
        <v>30</v>
      </c>
      <c r="E475" s="70">
        <v>26</v>
      </c>
    </row>
    <row r="476" spans="1:5">
      <c r="A476" s="22" t="s">
        <v>300</v>
      </c>
      <c r="B476" s="83"/>
      <c r="C476" s="72" t="s">
        <v>322</v>
      </c>
      <c r="D476" s="70">
        <v>60</v>
      </c>
      <c r="E476" s="70">
        <v>25</v>
      </c>
    </row>
    <row r="477" spans="1:5">
      <c r="A477" s="22" t="s">
        <v>300</v>
      </c>
      <c r="B477" s="83"/>
      <c r="C477" s="72" t="s">
        <v>323</v>
      </c>
      <c r="D477" s="70">
        <v>30</v>
      </c>
      <c r="E477" s="70">
        <v>30</v>
      </c>
    </row>
    <row r="478" spans="1:5">
      <c r="A478" s="22" t="s">
        <v>300</v>
      </c>
      <c r="B478" s="83"/>
      <c r="C478" s="72" t="s">
        <v>333</v>
      </c>
      <c r="D478" s="70">
        <v>28</v>
      </c>
      <c r="E478" s="70">
        <v>44</v>
      </c>
    </row>
    <row r="479" spans="1:5">
      <c r="A479" s="22" t="s">
        <v>300</v>
      </c>
      <c r="B479" s="83"/>
      <c r="C479" s="72" t="s">
        <v>334</v>
      </c>
      <c r="D479" s="70">
        <v>34</v>
      </c>
      <c r="E479" s="70">
        <v>27</v>
      </c>
    </row>
    <row r="480" spans="1:5">
      <c r="A480" s="22" t="s">
        <v>300</v>
      </c>
      <c r="B480" s="83"/>
      <c r="C480" s="72" t="s">
        <v>324</v>
      </c>
      <c r="D480" s="70">
        <v>36</v>
      </c>
      <c r="E480" s="70">
        <v>42</v>
      </c>
    </row>
    <row r="481" spans="1:5" ht="15.75" customHeight="1">
      <c r="A481" s="22" t="s">
        <v>300</v>
      </c>
      <c r="B481" s="83" t="s">
        <v>1339</v>
      </c>
      <c r="C481" s="72" t="s">
        <v>325</v>
      </c>
      <c r="D481" s="70" t="s">
        <v>1340</v>
      </c>
      <c r="E481" s="70">
        <v>26</v>
      </c>
    </row>
    <row r="482" spans="1:5">
      <c r="A482" s="22" t="s">
        <v>300</v>
      </c>
      <c r="B482" s="83"/>
      <c r="C482" s="72" t="s">
        <v>326</v>
      </c>
      <c r="D482" s="70">
        <v>8</v>
      </c>
      <c r="E482" s="70">
        <v>24</v>
      </c>
    </row>
    <row r="483" spans="1:5">
      <c r="A483" s="22" t="s">
        <v>300</v>
      </c>
      <c r="B483" s="83"/>
      <c r="C483" s="72" t="s">
        <v>327</v>
      </c>
      <c r="D483" s="70">
        <v>22</v>
      </c>
      <c r="E483" s="70">
        <v>28</v>
      </c>
    </row>
    <row r="484" spans="1:5">
      <c r="A484" s="22" t="s">
        <v>300</v>
      </c>
      <c r="B484" s="83"/>
      <c r="C484" s="72" t="s">
        <v>328</v>
      </c>
      <c r="D484" s="70">
        <v>56</v>
      </c>
      <c r="E484" s="70">
        <v>71</v>
      </c>
    </row>
    <row r="485" spans="1:5">
      <c r="A485" s="22" t="s">
        <v>300</v>
      </c>
      <c r="B485" s="83"/>
      <c r="C485" s="72" t="s">
        <v>328</v>
      </c>
      <c r="D485" s="70">
        <v>28</v>
      </c>
      <c r="E485" s="70">
        <v>27</v>
      </c>
    </row>
    <row r="486" spans="1:5">
      <c r="A486" s="22" t="s">
        <v>300</v>
      </c>
      <c r="B486" s="83"/>
      <c r="C486" s="72" t="s">
        <v>337</v>
      </c>
      <c r="D486" s="70">
        <v>0</v>
      </c>
      <c r="E486" s="70">
        <v>24</v>
      </c>
    </row>
    <row r="487" spans="1:5">
      <c r="A487" s="22" t="s">
        <v>300</v>
      </c>
      <c r="B487" s="83"/>
      <c r="C487" s="72" t="s">
        <v>344</v>
      </c>
      <c r="D487" s="70">
        <v>39</v>
      </c>
      <c r="E487" s="70">
        <v>21</v>
      </c>
    </row>
    <row r="488" spans="1:5">
      <c r="A488" s="22" t="s">
        <v>300</v>
      </c>
      <c r="B488" s="83"/>
      <c r="C488" s="72" t="s">
        <v>338</v>
      </c>
      <c r="D488" s="70">
        <v>0</v>
      </c>
      <c r="E488" s="70">
        <v>8</v>
      </c>
    </row>
    <row r="489" spans="1:5">
      <c r="A489" s="22" t="s">
        <v>300</v>
      </c>
      <c r="B489" s="83" t="s">
        <v>1341</v>
      </c>
      <c r="C489" s="72" t="s">
        <v>330</v>
      </c>
      <c r="D489" s="70">
        <v>40</v>
      </c>
      <c r="E489" s="70">
        <v>42</v>
      </c>
    </row>
    <row r="490" spans="1:5">
      <c r="A490" s="22" t="s">
        <v>300</v>
      </c>
      <c r="B490" s="83"/>
      <c r="C490" s="72" t="s">
        <v>331</v>
      </c>
      <c r="D490" s="70">
        <v>180</v>
      </c>
      <c r="E490" s="70">
        <v>335</v>
      </c>
    </row>
    <row r="491" spans="1:5">
      <c r="A491" s="22" t="s">
        <v>300</v>
      </c>
      <c r="B491" s="83"/>
      <c r="C491" s="72" t="s">
        <v>332</v>
      </c>
      <c r="D491" s="70">
        <v>210</v>
      </c>
      <c r="E491" s="70">
        <v>38</v>
      </c>
    </row>
    <row r="492" spans="1:5">
      <c r="A492" s="22" t="s">
        <v>300</v>
      </c>
      <c r="B492" s="83" t="s">
        <v>300</v>
      </c>
      <c r="C492" s="72" t="s">
        <v>335</v>
      </c>
      <c r="D492" s="70">
        <v>70</v>
      </c>
      <c r="E492" s="70">
        <v>9</v>
      </c>
    </row>
    <row r="493" spans="1:5">
      <c r="A493" s="22" t="s">
        <v>300</v>
      </c>
      <c r="B493" s="83"/>
      <c r="C493" s="72" t="s">
        <v>342</v>
      </c>
      <c r="D493" s="70"/>
      <c r="E493" s="71"/>
    </row>
    <row r="494" spans="1:5">
      <c r="A494" s="22" t="s">
        <v>300</v>
      </c>
      <c r="B494" s="83"/>
      <c r="C494" s="72" t="s">
        <v>343</v>
      </c>
      <c r="D494" s="70">
        <v>60</v>
      </c>
      <c r="E494" s="70">
        <v>11</v>
      </c>
    </row>
    <row r="495" spans="1:5">
      <c r="A495" s="22" t="s">
        <v>300</v>
      </c>
      <c r="B495" s="83"/>
      <c r="C495" s="72" t="s">
        <v>329</v>
      </c>
      <c r="D495" s="70">
        <v>20</v>
      </c>
      <c r="E495" s="70">
        <v>55</v>
      </c>
    </row>
    <row r="496" spans="1:5">
      <c r="A496" s="22" t="s">
        <v>300</v>
      </c>
      <c r="B496" s="83"/>
      <c r="C496" s="72" t="s">
        <v>336</v>
      </c>
      <c r="D496" s="70">
        <v>60</v>
      </c>
      <c r="E496" s="70">
        <v>26</v>
      </c>
    </row>
    <row r="497" spans="1:5">
      <c r="A497" s="22" t="s">
        <v>300</v>
      </c>
      <c r="B497" s="83" t="s">
        <v>1342</v>
      </c>
      <c r="C497" s="72" t="s">
        <v>339</v>
      </c>
      <c r="D497" s="70">
        <v>100</v>
      </c>
      <c r="E497" s="70">
        <v>28</v>
      </c>
    </row>
    <row r="498" spans="1:5">
      <c r="A498" s="22" t="s">
        <v>300</v>
      </c>
      <c r="B498" s="83"/>
      <c r="C498" s="72" t="s">
        <v>340</v>
      </c>
      <c r="D498" s="70">
        <v>150</v>
      </c>
      <c r="E498" s="70">
        <v>21</v>
      </c>
    </row>
    <row r="499" spans="1:5">
      <c r="A499" s="22" t="s">
        <v>300</v>
      </c>
      <c r="B499" s="83"/>
      <c r="C499" s="72" t="s">
        <v>341</v>
      </c>
      <c r="D499" s="70">
        <v>150</v>
      </c>
      <c r="E499" s="70">
        <v>23</v>
      </c>
    </row>
    <row r="500" spans="1:5">
      <c r="A500" s="22" t="s">
        <v>346</v>
      </c>
      <c r="B500" s="68" t="s">
        <v>1228</v>
      </c>
      <c r="C500" s="68" t="s">
        <v>191</v>
      </c>
      <c r="D500" s="69">
        <v>5046</v>
      </c>
      <c r="E500" s="69">
        <v>549</v>
      </c>
    </row>
    <row r="501" spans="1:5">
      <c r="A501" s="22" t="s">
        <v>346</v>
      </c>
      <c r="B501" s="32" t="s">
        <v>1229</v>
      </c>
      <c r="C501" s="32" t="s">
        <v>1230</v>
      </c>
      <c r="D501" s="3">
        <v>2905</v>
      </c>
      <c r="E501" s="3">
        <v>2460</v>
      </c>
    </row>
    <row r="502" spans="1:5">
      <c r="A502" s="1" t="s">
        <v>359</v>
      </c>
      <c r="B502" s="82" t="s">
        <v>890</v>
      </c>
      <c r="C502" s="17" t="s">
        <v>891</v>
      </c>
      <c r="D502" s="11">
        <v>93.5</v>
      </c>
      <c r="E502" s="11">
        <v>17</v>
      </c>
    </row>
    <row r="503" spans="1:5">
      <c r="A503" s="1" t="s">
        <v>359</v>
      </c>
      <c r="B503" s="82"/>
      <c r="C503" s="17" t="s">
        <v>892</v>
      </c>
      <c r="D503" s="12">
        <v>300</v>
      </c>
      <c r="E503" s="10">
        <v>100</v>
      </c>
    </row>
    <row r="504" spans="1:5">
      <c r="A504" s="1" t="s">
        <v>359</v>
      </c>
      <c r="B504" s="82"/>
      <c r="C504" s="17" t="s">
        <v>360</v>
      </c>
      <c r="D504" s="10">
        <v>30</v>
      </c>
      <c r="E504" s="10">
        <v>19</v>
      </c>
    </row>
    <row r="505" spans="1:5">
      <c r="A505" s="1" t="s">
        <v>359</v>
      </c>
      <c r="B505" s="82"/>
      <c r="C505" s="17" t="s">
        <v>566</v>
      </c>
      <c r="D505" s="11">
        <v>60</v>
      </c>
      <c r="E505" s="11">
        <v>47</v>
      </c>
    </row>
    <row r="506" spans="1:5">
      <c r="A506" s="1" t="s">
        <v>359</v>
      </c>
      <c r="B506" s="82"/>
      <c r="C506" s="17" t="s">
        <v>361</v>
      </c>
      <c r="D506" s="10">
        <v>40</v>
      </c>
      <c r="E506" s="10">
        <v>29</v>
      </c>
    </row>
    <row r="507" spans="1:5">
      <c r="A507" s="1" t="s">
        <v>359</v>
      </c>
      <c r="B507" s="82"/>
      <c r="C507" s="17" t="s">
        <v>893</v>
      </c>
      <c r="D507" s="10">
        <v>20</v>
      </c>
      <c r="E507" s="10">
        <v>40</v>
      </c>
    </row>
    <row r="508" spans="1:5">
      <c r="A508" s="1" t="s">
        <v>359</v>
      </c>
      <c r="B508" s="82"/>
      <c r="C508" s="17" t="s">
        <v>894</v>
      </c>
      <c r="D508" s="10">
        <v>40</v>
      </c>
      <c r="E508" s="10">
        <v>20</v>
      </c>
    </row>
    <row r="509" spans="1:5">
      <c r="A509" s="1" t="s">
        <v>359</v>
      </c>
      <c r="B509" s="82"/>
      <c r="C509" s="17" t="s">
        <v>895</v>
      </c>
      <c r="D509" s="10">
        <v>108</v>
      </c>
      <c r="E509" s="10">
        <v>6</v>
      </c>
    </row>
    <row r="510" spans="1:5">
      <c r="A510" s="1" t="s">
        <v>359</v>
      </c>
      <c r="B510" s="82"/>
      <c r="C510" s="17" t="s">
        <v>896</v>
      </c>
      <c r="D510" s="10">
        <v>70</v>
      </c>
      <c r="E510" s="10">
        <v>55</v>
      </c>
    </row>
    <row r="511" spans="1:5">
      <c r="A511" s="1" t="s">
        <v>359</v>
      </c>
      <c r="B511" s="82"/>
      <c r="C511" s="17" t="s">
        <v>897</v>
      </c>
      <c r="D511" s="10">
        <v>155</v>
      </c>
      <c r="E511" s="10">
        <v>10</v>
      </c>
    </row>
    <row r="512" spans="1:5">
      <c r="A512" s="1" t="s">
        <v>359</v>
      </c>
      <c r="B512" s="82"/>
      <c r="C512" s="17" t="s">
        <v>898</v>
      </c>
      <c r="D512" s="10">
        <v>20</v>
      </c>
      <c r="E512" s="10">
        <v>20</v>
      </c>
    </row>
    <row r="513" spans="1:5">
      <c r="A513" s="1" t="s">
        <v>359</v>
      </c>
      <c r="B513" s="82"/>
      <c r="C513" s="17" t="s">
        <v>899</v>
      </c>
      <c r="D513" s="10">
        <v>60</v>
      </c>
      <c r="E513" s="10">
        <v>60</v>
      </c>
    </row>
    <row r="514" spans="1:5">
      <c r="A514" s="1" t="s">
        <v>359</v>
      </c>
      <c r="B514" s="82"/>
      <c r="C514" s="17" t="s">
        <v>34</v>
      </c>
      <c r="D514" s="10">
        <v>40</v>
      </c>
      <c r="E514" s="10">
        <v>28</v>
      </c>
    </row>
    <row r="515" spans="1:5">
      <c r="A515" s="1" t="s">
        <v>359</v>
      </c>
      <c r="B515" s="82" t="s">
        <v>900</v>
      </c>
      <c r="C515" s="17" t="s">
        <v>362</v>
      </c>
      <c r="D515" s="10">
        <v>60</v>
      </c>
      <c r="E515" s="10">
        <v>87</v>
      </c>
    </row>
    <row r="516" spans="1:5">
      <c r="A516" s="1" t="s">
        <v>359</v>
      </c>
      <c r="B516" s="82"/>
      <c r="C516" s="17" t="s">
        <v>901</v>
      </c>
      <c r="D516" s="10">
        <v>50</v>
      </c>
      <c r="E516" s="10">
        <v>50</v>
      </c>
    </row>
    <row r="517" spans="1:5">
      <c r="A517" s="1" t="s">
        <v>359</v>
      </c>
      <c r="B517" s="82"/>
      <c r="C517" s="17" t="s">
        <v>902</v>
      </c>
      <c r="D517" s="10">
        <v>70</v>
      </c>
      <c r="E517" s="10">
        <v>70</v>
      </c>
    </row>
    <row r="518" spans="1:5">
      <c r="A518" s="1" t="s">
        <v>359</v>
      </c>
      <c r="B518" s="82"/>
      <c r="C518" s="17" t="s">
        <v>903</v>
      </c>
      <c r="D518" s="10">
        <v>75</v>
      </c>
      <c r="E518" s="10">
        <v>8</v>
      </c>
    </row>
    <row r="519" spans="1:5">
      <c r="A519" s="1" t="s">
        <v>359</v>
      </c>
      <c r="B519" s="82" t="s">
        <v>904</v>
      </c>
      <c r="C519" s="17" t="s">
        <v>420</v>
      </c>
      <c r="D519" s="10">
        <v>80</v>
      </c>
      <c r="E519" s="10">
        <v>75</v>
      </c>
    </row>
    <row r="520" spans="1:5">
      <c r="A520" s="1" t="s">
        <v>359</v>
      </c>
      <c r="B520" s="82"/>
      <c r="C520" s="17" t="s">
        <v>395</v>
      </c>
      <c r="D520" s="10">
        <v>40</v>
      </c>
      <c r="E520" s="10">
        <v>40</v>
      </c>
    </row>
    <row r="521" spans="1:5">
      <c r="A521" s="1" t="s">
        <v>359</v>
      </c>
      <c r="B521" s="82"/>
      <c r="C521" s="17" t="s">
        <v>419</v>
      </c>
      <c r="D521" s="10">
        <v>46</v>
      </c>
      <c r="E521" s="10">
        <v>46</v>
      </c>
    </row>
    <row r="522" spans="1:5">
      <c r="A522" s="1" t="s">
        <v>359</v>
      </c>
      <c r="B522" s="82"/>
      <c r="C522" s="17" t="s">
        <v>905</v>
      </c>
      <c r="D522" s="10">
        <v>45</v>
      </c>
      <c r="E522" s="10">
        <v>29</v>
      </c>
    </row>
    <row r="523" spans="1:5">
      <c r="A523" s="1" t="s">
        <v>359</v>
      </c>
      <c r="B523" s="82"/>
      <c r="C523" s="17" t="s">
        <v>906</v>
      </c>
      <c r="D523" s="10">
        <v>80</v>
      </c>
      <c r="E523" s="10">
        <v>73</v>
      </c>
    </row>
    <row r="524" spans="1:5">
      <c r="A524" s="1" t="s">
        <v>359</v>
      </c>
      <c r="B524" s="82"/>
      <c r="C524" s="17" t="s">
        <v>392</v>
      </c>
      <c r="D524" s="10">
        <v>60</v>
      </c>
      <c r="E524" s="10">
        <v>36</v>
      </c>
    </row>
    <row r="525" spans="1:5">
      <c r="A525" s="1" t="s">
        <v>359</v>
      </c>
      <c r="B525" s="82"/>
      <c r="C525" s="17" t="s">
        <v>391</v>
      </c>
      <c r="D525" s="10">
        <v>58</v>
      </c>
      <c r="E525" s="10">
        <v>24</v>
      </c>
    </row>
    <row r="526" spans="1:5">
      <c r="A526" s="1" t="s">
        <v>359</v>
      </c>
      <c r="B526" s="82"/>
      <c r="C526" s="17" t="s">
        <v>907</v>
      </c>
      <c r="D526" s="10">
        <v>50</v>
      </c>
      <c r="E526" s="10">
        <v>30</v>
      </c>
    </row>
    <row r="527" spans="1:5">
      <c r="A527" s="1" t="s">
        <v>359</v>
      </c>
      <c r="B527" s="82"/>
      <c r="C527" s="17" t="s">
        <v>393</v>
      </c>
      <c r="D527" s="10">
        <v>75</v>
      </c>
      <c r="E527" s="10">
        <v>44</v>
      </c>
    </row>
    <row r="528" spans="1:5">
      <c r="A528" s="1" t="s">
        <v>359</v>
      </c>
      <c r="B528" s="82"/>
      <c r="C528" s="17" t="s">
        <v>394</v>
      </c>
      <c r="D528" s="10"/>
      <c r="E528" s="10"/>
    </row>
    <row r="529" spans="1:5">
      <c r="A529" s="1" t="s">
        <v>359</v>
      </c>
      <c r="B529" s="82"/>
      <c r="C529" s="17" t="s">
        <v>908</v>
      </c>
      <c r="D529" s="10"/>
      <c r="E529" s="10"/>
    </row>
    <row r="530" spans="1:5">
      <c r="A530" s="1" t="s">
        <v>359</v>
      </c>
      <c r="B530" s="82"/>
      <c r="C530" s="17" t="s">
        <v>909</v>
      </c>
      <c r="D530" s="10">
        <v>15</v>
      </c>
      <c r="E530" s="10">
        <v>10</v>
      </c>
    </row>
    <row r="531" spans="1:5">
      <c r="A531" s="1" t="s">
        <v>359</v>
      </c>
      <c r="B531" s="82" t="s">
        <v>910</v>
      </c>
      <c r="C531" s="17" t="s">
        <v>365</v>
      </c>
      <c r="D531" s="10">
        <v>38</v>
      </c>
      <c r="E531" s="10">
        <v>36</v>
      </c>
    </row>
    <row r="532" spans="1:5">
      <c r="A532" s="1" t="s">
        <v>359</v>
      </c>
      <c r="B532" s="82"/>
      <c r="C532" s="17" t="s">
        <v>911</v>
      </c>
      <c r="D532" s="10">
        <v>40</v>
      </c>
      <c r="E532" s="10">
        <v>23</v>
      </c>
    </row>
    <row r="533" spans="1:5">
      <c r="A533" s="1" t="s">
        <v>359</v>
      </c>
      <c r="B533" s="82"/>
      <c r="C533" s="17" t="s">
        <v>912</v>
      </c>
      <c r="D533" s="10">
        <v>48</v>
      </c>
      <c r="E533" s="10">
        <v>9</v>
      </c>
    </row>
    <row r="534" spans="1:5">
      <c r="A534" s="1" t="s">
        <v>359</v>
      </c>
      <c r="B534" s="82"/>
      <c r="C534" s="17" t="s">
        <v>913</v>
      </c>
      <c r="D534" s="10">
        <v>105</v>
      </c>
      <c r="E534" s="10">
        <v>20</v>
      </c>
    </row>
    <row r="535" spans="1:5">
      <c r="A535" s="1" t="s">
        <v>359</v>
      </c>
      <c r="B535" s="82"/>
      <c r="C535" s="17" t="s">
        <v>418</v>
      </c>
      <c r="D535" s="10">
        <v>42</v>
      </c>
      <c r="E535" s="10">
        <v>34</v>
      </c>
    </row>
    <row r="536" spans="1:5">
      <c r="A536" s="1" t="s">
        <v>359</v>
      </c>
      <c r="B536" s="82"/>
      <c r="C536" s="17" t="s">
        <v>914</v>
      </c>
      <c r="D536" s="10">
        <v>81.400000000000006</v>
      </c>
      <c r="E536" s="10">
        <v>21</v>
      </c>
    </row>
    <row r="537" spans="1:5">
      <c r="A537" s="1" t="s">
        <v>359</v>
      </c>
      <c r="B537" s="82"/>
      <c r="C537" s="17" t="s">
        <v>915</v>
      </c>
      <c r="D537" s="10">
        <v>64.5</v>
      </c>
      <c r="E537" s="10">
        <v>27</v>
      </c>
    </row>
    <row r="538" spans="1:5">
      <c r="A538" s="1" t="s">
        <v>359</v>
      </c>
      <c r="B538" s="82"/>
      <c r="C538" s="17" t="s">
        <v>369</v>
      </c>
      <c r="D538" s="10">
        <v>25</v>
      </c>
      <c r="E538" s="10">
        <v>16</v>
      </c>
    </row>
    <row r="539" spans="1:5">
      <c r="A539" s="1" t="s">
        <v>359</v>
      </c>
      <c r="B539" s="82"/>
      <c r="C539" s="17" t="s">
        <v>368</v>
      </c>
      <c r="D539" s="10">
        <v>48</v>
      </c>
      <c r="E539" s="10">
        <v>28</v>
      </c>
    </row>
    <row r="540" spans="1:5">
      <c r="A540" s="1" t="s">
        <v>359</v>
      </c>
      <c r="B540" s="82"/>
      <c r="C540" s="17" t="s">
        <v>366</v>
      </c>
      <c r="D540" s="10">
        <v>42.6</v>
      </c>
      <c r="E540" s="10">
        <v>32</v>
      </c>
    </row>
    <row r="541" spans="1:5">
      <c r="A541" s="1" t="s">
        <v>359</v>
      </c>
      <c r="B541" s="82"/>
      <c r="C541" s="17" t="s">
        <v>370</v>
      </c>
      <c r="D541" s="10">
        <v>46</v>
      </c>
      <c r="E541" s="10">
        <v>22</v>
      </c>
    </row>
    <row r="542" spans="1:5">
      <c r="A542" s="1" t="s">
        <v>359</v>
      </c>
      <c r="B542" s="82"/>
      <c r="C542" s="17" t="s">
        <v>371</v>
      </c>
      <c r="D542" s="10">
        <v>34.5</v>
      </c>
      <c r="E542" s="10">
        <v>43</v>
      </c>
    </row>
    <row r="543" spans="1:5">
      <c r="A543" s="1" t="s">
        <v>359</v>
      </c>
      <c r="B543" s="82"/>
      <c r="C543" s="17" t="s">
        <v>916</v>
      </c>
      <c r="D543" s="10">
        <v>40</v>
      </c>
      <c r="E543" s="10">
        <v>23</v>
      </c>
    </row>
    <row r="544" spans="1:5">
      <c r="A544" s="1" t="s">
        <v>359</v>
      </c>
      <c r="B544" s="82"/>
      <c r="C544" s="17" t="s">
        <v>917</v>
      </c>
      <c r="D544" s="10">
        <v>36</v>
      </c>
      <c r="E544" s="10">
        <v>13</v>
      </c>
    </row>
    <row r="545" spans="1:5">
      <c r="A545" s="1" t="s">
        <v>359</v>
      </c>
      <c r="B545" s="82"/>
      <c r="C545" s="17" t="s">
        <v>918</v>
      </c>
      <c r="D545" s="10"/>
      <c r="E545" s="10">
        <v>83</v>
      </c>
    </row>
    <row r="546" spans="1:5">
      <c r="A546" s="1" t="s">
        <v>359</v>
      </c>
      <c r="B546" s="82"/>
      <c r="C546" s="17" t="s">
        <v>919</v>
      </c>
      <c r="D546" s="10"/>
      <c r="E546" s="10"/>
    </row>
    <row r="547" spans="1:5">
      <c r="A547" s="1" t="s">
        <v>359</v>
      </c>
      <c r="B547" s="82"/>
      <c r="C547" s="17" t="s">
        <v>372</v>
      </c>
      <c r="D547" s="10">
        <v>40</v>
      </c>
      <c r="E547" s="10">
        <v>35</v>
      </c>
    </row>
    <row r="548" spans="1:5">
      <c r="A548" s="1" t="s">
        <v>359</v>
      </c>
      <c r="B548" s="82"/>
      <c r="C548" s="17" t="s">
        <v>366</v>
      </c>
      <c r="D548" s="10">
        <v>42</v>
      </c>
      <c r="E548" s="10">
        <v>32</v>
      </c>
    </row>
    <row r="549" spans="1:5">
      <c r="A549" s="1" t="s">
        <v>359</v>
      </c>
      <c r="B549" s="82"/>
      <c r="C549" s="17" t="s">
        <v>367</v>
      </c>
      <c r="D549" s="10">
        <v>42</v>
      </c>
      <c r="E549" s="10">
        <v>20</v>
      </c>
    </row>
    <row r="550" spans="1:5">
      <c r="A550" s="1" t="s">
        <v>359</v>
      </c>
      <c r="B550" s="82" t="s">
        <v>920</v>
      </c>
      <c r="C550" s="17" t="s">
        <v>377</v>
      </c>
      <c r="D550" s="10">
        <v>15</v>
      </c>
      <c r="E550" s="10">
        <v>15</v>
      </c>
    </row>
    <row r="551" spans="1:5">
      <c r="A551" s="1" t="s">
        <v>359</v>
      </c>
      <c r="B551" s="82"/>
      <c r="C551" s="17" t="s">
        <v>373</v>
      </c>
      <c r="D551" s="10">
        <v>30</v>
      </c>
      <c r="E551" s="10">
        <v>28</v>
      </c>
    </row>
    <row r="552" spans="1:5">
      <c r="A552" s="1" t="s">
        <v>359</v>
      </c>
      <c r="B552" s="82"/>
      <c r="C552" s="17" t="s">
        <v>374</v>
      </c>
      <c r="D552" s="10">
        <v>40</v>
      </c>
      <c r="E552" s="10">
        <v>68</v>
      </c>
    </row>
    <row r="553" spans="1:5">
      <c r="A553" s="1" t="s">
        <v>359</v>
      </c>
      <c r="B553" s="82"/>
      <c r="C553" s="17" t="s">
        <v>375</v>
      </c>
      <c r="D553" s="10">
        <v>56</v>
      </c>
      <c r="E553" s="10">
        <v>63</v>
      </c>
    </row>
    <row r="554" spans="1:5">
      <c r="A554" s="1" t="s">
        <v>359</v>
      </c>
      <c r="B554" s="82"/>
      <c r="C554" s="17" t="s">
        <v>921</v>
      </c>
      <c r="D554" s="10">
        <v>25</v>
      </c>
      <c r="E554" s="10">
        <v>22</v>
      </c>
    </row>
    <row r="555" spans="1:5">
      <c r="A555" s="1" t="s">
        <v>359</v>
      </c>
      <c r="B555" s="82"/>
      <c r="C555" s="17" t="s">
        <v>376</v>
      </c>
      <c r="D555" s="10">
        <v>250</v>
      </c>
      <c r="E555" s="10">
        <v>290</v>
      </c>
    </row>
    <row r="556" spans="1:5">
      <c r="A556" s="1" t="s">
        <v>359</v>
      </c>
      <c r="B556" s="82"/>
      <c r="C556" s="17" t="s">
        <v>378</v>
      </c>
      <c r="D556" s="10">
        <v>112</v>
      </c>
      <c r="E556" s="10">
        <v>50</v>
      </c>
    </row>
    <row r="557" spans="1:5">
      <c r="A557" s="1" t="s">
        <v>359</v>
      </c>
      <c r="B557" s="82"/>
      <c r="C557" s="17" t="s">
        <v>442</v>
      </c>
      <c r="D557" s="10">
        <v>30</v>
      </c>
      <c r="E557" s="10">
        <v>12</v>
      </c>
    </row>
    <row r="558" spans="1:5">
      <c r="A558" s="1" t="s">
        <v>359</v>
      </c>
      <c r="B558" s="82"/>
      <c r="C558" s="17" t="s">
        <v>355</v>
      </c>
      <c r="D558" s="10">
        <v>52</v>
      </c>
      <c r="E558" s="10">
        <v>34</v>
      </c>
    </row>
    <row r="559" spans="1:5">
      <c r="A559" s="1" t="s">
        <v>359</v>
      </c>
      <c r="B559" s="82" t="s">
        <v>923</v>
      </c>
      <c r="C559" s="17" t="s">
        <v>922</v>
      </c>
      <c r="D559" s="10">
        <v>47</v>
      </c>
      <c r="E559" s="10">
        <v>46</v>
      </c>
    </row>
    <row r="560" spans="1:5">
      <c r="A560" s="1" t="s">
        <v>359</v>
      </c>
      <c r="B560" s="82"/>
      <c r="C560" s="17" t="s">
        <v>924</v>
      </c>
      <c r="D560" s="10">
        <v>45</v>
      </c>
      <c r="E560" s="10">
        <v>31</v>
      </c>
    </row>
    <row r="561" spans="1:5">
      <c r="A561" s="1" t="s">
        <v>359</v>
      </c>
      <c r="B561" s="82"/>
      <c r="C561" s="17" t="s">
        <v>925</v>
      </c>
      <c r="D561" s="10">
        <v>244</v>
      </c>
      <c r="E561" s="10">
        <v>105</v>
      </c>
    </row>
    <row r="562" spans="1:5">
      <c r="A562" s="1" t="s">
        <v>359</v>
      </c>
      <c r="B562" s="82"/>
      <c r="C562" s="17" t="s">
        <v>356</v>
      </c>
      <c r="D562" s="10">
        <v>26</v>
      </c>
      <c r="E562" s="10">
        <v>6</v>
      </c>
    </row>
    <row r="563" spans="1:5">
      <c r="A563" s="1" t="s">
        <v>359</v>
      </c>
      <c r="B563" s="82"/>
      <c r="C563" s="17" t="s">
        <v>926</v>
      </c>
      <c r="D563" s="10">
        <v>35</v>
      </c>
      <c r="E563" s="10">
        <v>83</v>
      </c>
    </row>
    <row r="564" spans="1:5">
      <c r="A564" s="1" t="s">
        <v>359</v>
      </c>
      <c r="B564" s="82"/>
      <c r="C564" s="17" t="s">
        <v>417</v>
      </c>
      <c r="D564" s="10">
        <v>20</v>
      </c>
      <c r="E564" s="10">
        <v>47</v>
      </c>
    </row>
    <row r="565" spans="1:5">
      <c r="A565" s="1" t="s">
        <v>359</v>
      </c>
      <c r="B565" s="82"/>
      <c r="C565" s="17" t="s">
        <v>364</v>
      </c>
      <c r="D565" s="10">
        <v>20</v>
      </c>
      <c r="E565" s="10">
        <v>15</v>
      </c>
    </row>
    <row r="566" spans="1:5">
      <c r="A566" s="1" t="s">
        <v>359</v>
      </c>
      <c r="B566" s="82" t="s">
        <v>927</v>
      </c>
      <c r="C566" s="17" t="s">
        <v>357</v>
      </c>
      <c r="D566" s="10">
        <v>77</v>
      </c>
      <c r="E566" s="10">
        <v>50</v>
      </c>
    </row>
    <row r="567" spans="1:5">
      <c r="A567" s="1" t="s">
        <v>359</v>
      </c>
      <c r="B567" s="82"/>
      <c r="C567" s="17" t="s">
        <v>352</v>
      </c>
      <c r="D567" s="10">
        <v>42</v>
      </c>
      <c r="E567" s="10">
        <v>10</v>
      </c>
    </row>
    <row r="568" spans="1:5">
      <c r="A568" s="1" t="s">
        <v>359</v>
      </c>
      <c r="B568" s="82"/>
      <c r="C568" s="17" t="s">
        <v>358</v>
      </c>
      <c r="D568" s="10">
        <v>85</v>
      </c>
      <c r="E568" s="10">
        <v>15</v>
      </c>
    </row>
    <row r="569" spans="1:5">
      <c r="A569" s="1" t="s">
        <v>359</v>
      </c>
      <c r="B569" s="82"/>
      <c r="C569" s="17" t="s">
        <v>422</v>
      </c>
      <c r="D569" s="10">
        <v>16</v>
      </c>
      <c r="E569" s="10">
        <v>40</v>
      </c>
    </row>
    <row r="570" spans="1:5">
      <c r="A570" s="1" t="s">
        <v>359</v>
      </c>
      <c r="B570" s="82" t="s">
        <v>928</v>
      </c>
      <c r="C570" s="17" t="s">
        <v>388</v>
      </c>
      <c r="D570" s="10">
        <v>49</v>
      </c>
      <c r="E570" s="10">
        <v>27</v>
      </c>
    </row>
    <row r="571" spans="1:5">
      <c r="A571" s="1" t="s">
        <v>359</v>
      </c>
      <c r="B571" s="82"/>
      <c r="C571" s="17" t="s">
        <v>387</v>
      </c>
      <c r="D571" s="10">
        <v>40</v>
      </c>
      <c r="E571" s="10">
        <v>21</v>
      </c>
    </row>
    <row r="572" spans="1:5">
      <c r="A572" s="1" t="s">
        <v>359</v>
      </c>
      <c r="B572" s="82"/>
      <c r="C572" s="17" t="s">
        <v>382</v>
      </c>
      <c r="D572" s="10">
        <v>297</v>
      </c>
      <c r="E572" s="10">
        <v>297</v>
      </c>
    </row>
    <row r="573" spans="1:5">
      <c r="A573" s="1" t="s">
        <v>359</v>
      </c>
      <c r="B573" s="82"/>
      <c r="C573" s="17" t="s">
        <v>929</v>
      </c>
      <c r="D573" s="10">
        <v>53</v>
      </c>
      <c r="E573" s="10">
        <v>26</v>
      </c>
    </row>
    <row r="574" spans="1:5">
      <c r="A574" s="1" t="s">
        <v>359</v>
      </c>
      <c r="B574" s="82"/>
      <c r="C574" s="17" t="s">
        <v>386</v>
      </c>
      <c r="D574" s="10">
        <v>50</v>
      </c>
      <c r="E574" s="10">
        <v>54</v>
      </c>
    </row>
    <row r="575" spans="1:5">
      <c r="A575" s="1" t="s">
        <v>359</v>
      </c>
      <c r="B575" s="82"/>
      <c r="C575" s="17" t="s">
        <v>60</v>
      </c>
      <c r="D575" s="10">
        <v>65</v>
      </c>
      <c r="E575" s="10">
        <v>30</v>
      </c>
    </row>
    <row r="576" spans="1:5">
      <c r="A576" s="1" t="s">
        <v>359</v>
      </c>
      <c r="B576" s="82"/>
      <c r="C576" s="17" t="s">
        <v>930</v>
      </c>
      <c r="D576" s="10">
        <v>106</v>
      </c>
      <c r="E576" s="10">
        <v>84</v>
      </c>
    </row>
    <row r="577" spans="1:5">
      <c r="A577" s="1" t="s">
        <v>359</v>
      </c>
      <c r="B577" s="82"/>
      <c r="C577" s="17" t="s">
        <v>383</v>
      </c>
      <c r="D577" s="10">
        <v>104</v>
      </c>
      <c r="E577" s="10">
        <v>41</v>
      </c>
    </row>
    <row r="578" spans="1:5">
      <c r="A578" s="1" t="s">
        <v>359</v>
      </c>
      <c r="B578" s="82"/>
      <c r="C578" s="17" t="s">
        <v>384</v>
      </c>
      <c r="D578" s="10">
        <v>60</v>
      </c>
      <c r="E578" s="10">
        <v>43</v>
      </c>
    </row>
    <row r="579" spans="1:5">
      <c r="A579" s="1" t="s">
        <v>359</v>
      </c>
      <c r="B579" s="82"/>
      <c r="C579" s="17" t="s">
        <v>351</v>
      </c>
      <c r="D579" s="10">
        <v>30</v>
      </c>
      <c r="E579" s="10">
        <v>66</v>
      </c>
    </row>
    <row r="580" spans="1:5">
      <c r="A580" s="1" t="s">
        <v>359</v>
      </c>
      <c r="B580" s="82"/>
      <c r="C580" s="17" t="s">
        <v>390</v>
      </c>
      <c r="D580" s="10">
        <v>30</v>
      </c>
      <c r="E580" s="10">
        <v>66</v>
      </c>
    </row>
    <row r="581" spans="1:5">
      <c r="A581" s="1" t="s">
        <v>359</v>
      </c>
      <c r="B581" s="82"/>
      <c r="C581" s="17" t="s">
        <v>931</v>
      </c>
      <c r="D581" s="10">
        <v>63</v>
      </c>
      <c r="E581" s="10">
        <v>32</v>
      </c>
    </row>
    <row r="582" spans="1:5">
      <c r="A582" s="1" t="s">
        <v>359</v>
      </c>
      <c r="B582" s="82"/>
      <c r="C582" s="17" t="s">
        <v>932</v>
      </c>
      <c r="D582" s="10">
        <v>60</v>
      </c>
      <c r="E582" s="10">
        <v>30</v>
      </c>
    </row>
    <row r="583" spans="1:5">
      <c r="A583" s="1" t="s">
        <v>359</v>
      </c>
      <c r="B583" s="82"/>
      <c r="C583" s="17" t="s">
        <v>379</v>
      </c>
      <c r="D583" s="10">
        <v>60</v>
      </c>
      <c r="E583" s="10">
        <v>243</v>
      </c>
    </row>
    <row r="584" spans="1:5">
      <c r="A584" s="1" t="s">
        <v>359</v>
      </c>
      <c r="B584" s="82"/>
      <c r="C584" s="17" t="s">
        <v>380</v>
      </c>
      <c r="D584" s="10">
        <v>100</v>
      </c>
      <c r="E584" s="10">
        <v>247</v>
      </c>
    </row>
    <row r="585" spans="1:5">
      <c r="A585" s="1" t="s">
        <v>359</v>
      </c>
      <c r="B585" s="82"/>
      <c r="C585" s="17" t="s">
        <v>933</v>
      </c>
      <c r="D585" s="10">
        <v>87.5</v>
      </c>
      <c r="E585" s="10">
        <v>81</v>
      </c>
    </row>
    <row r="586" spans="1:5">
      <c r="A586" s="1" t="s">
        <v>359</v>
      </c>
      <c r="B586" s="82"/>
      <c r="C586" s="17" t="s">
        <v>385</v>
      </c>
      <c r="D586" s="10">
        <v>250</v>
      </c>
      <c r="E586" s="10">
        <v>36</v>
      </c>
    </row>
    <row r="587" spans="1:5">
      <c r="A587" s="1" t="s">
        <v>359</v>
      </c>
      <c r="B587" s="82"/>
      <c r="C587" s="17" t="s">
        <v>389</v>
      </c>
      <c r="D587" s="10">
        <v>56</v>
      </c>
      <c r="E587" s="10">
        <v>26</v>
      </c>
    </row>
    <row r="588" spans="1:5">
      <c r="A588" s="1" t="s">
        <v>359</v>
      </c>
      <c r="B588" s="82" t="s">
        <v>934</v>
      </c>
      <c r="C588" s="17" t="s">
        <v>381</v>
      </c>
      <c r="D588" s="10">
        <v>139</v>
      </c>
      <c r="E588" s="10">
        <v>230</v>
      </c>
    </row>
    <row r="589" spans="1:5">
      <c r="A589" s="1" t="s">
        <v>359</v>
      </c>
      <c r="B589" s="82"/>
      <c r="C589" s="17" t="s">
        <v>379</v>
      </c>
      <c r="D589" s="10">
        <v>713.5</v>
      </c>
      <c r="E589" s="10">
        <v>726</v>
      </c>
    </row>
    <row r="590" spans="1:5">
      <c r="A590" s="1" t="s">
        <v>359</v>
      </c>
      <c r="B590" s="82"/>
      <c r="C590" s="17" t="s">
        <v>380</v>
      </c>
      <c r="D590" s="10">
        <v>750</v>
      </c>
      <c r="E590" s="10">
        <v>510</v>
      </c>
    </row>
    <row r="591" spans="1:5">
      <c r="A591" s="1" t="s">
        <v>359</v>
      </c>
      <c r="B591" s="82"/>
      <c r="C591" s="17" t="s">
        <v>935</v>
      </c>
      <c r="D591" s="10">
        <v>100</v>
      </c>
      <c r="E591" s="10">
        <v>60</v>
      </c>
    </row>
    <row r="592" spans="1:5">
      <c r="A592" s="1" t="s">
        <v>359</v>
      </c>
      <c r="B592" s="82"/>
      <c r="C592" s="17" t="s">
        <v>936</v>
      </c>
      <c r="D592" s="10">
        <v>247.04</v>
      </c>
      <c r="E592" s="10">
        <v>210</v>
      </c>
    </row>
    <row r="593" spans="1:5">
      <c r="A593" s="1" t="s">
        <v>359</v>
      </c>
      <c r="B593" s="82"/>
      <c r="C593" s="17" t="s">
        <v>937</v>
      </c>
      <c r="D593" s="10">
        <v>265</v>
      </c>
      <c r="E593" s="10">
        <v>80</v>
      </c>
    </row>
    <row r="594" spans="1:5">
      <c r="A594" s="1" t="s">
        <v>359</v>
      </c>
      <c r="B594" s="82"/>
      <c r="C594" s="17" t="s">
        <v>354</v>
      </c>
      <c r="D594" s="10">
        <v>30</v>
      </c>
      <c r="E594" s="10">
        <v>30</v>
      </c>
    </row>
    <row r="595" spans="1:5">
      <c r="A595" s="1" t="s">
        <v>359</v>
      </c>
      <c r="B595" s="82"/>
      <c r="C595" s="17" t="s">
        <v>938</v>
      </c>
      <c r="D595" s="10">
        <v>60</v>
      </c>
      <c r="E595" s="10">
        <v>50</v>
      </c>
    </row>
    <row r="596" spans="1:5">
      <c r="A596" s="1" t="s">
        <v>359</v>
      </c>
      <c r="B596" s="82"/>
      <c r="C596" s="17" t="s">
        <v>939</v>
      </c>
      <c r="D596" s="10">
        <v>100</v>
      </c>
      <c r="E596" s="10">
        <v>60</v>
      </c>
    </row>
    <row r="597" spans="1:5">
      <c r="A597" s="1" t="s">
        <v>359</v>
      </c>
      <c r="B597" s="82"/>
      <c r="C597" s="17" t="s">
        <v>940</v>
      </c>
      <c r="D597" s="10">
        <v>40</v>
      </c>
      <c r="E597" s="10">
        <v>40</v>
      </c>
    </row>
    <row r="598" spans="1:5">
      <c r="A598" s="1" t="s">
        <v>359</v>
      </c>
      <c r="B598" s="82"/>
      <c r="C598" s="17" t="s">
        <v>941</v>
      </c>
      <c r="D598" s="10"/>
      <c r="E598" s="10">
        <v>35</v>
      </c>
    </row>
    <row r="599" spans="1:5">
      <c r="A599" s="1" t="s">
        <v>359</v>
      </c>
      <c r="B599" s="82" t="s">
        <v>943</v>
      </c>
      <c r="C599" s="17" t="s">
        <v>942</v>
      </c>
      <c r="D599" s="10">
        <v>69</v>
      </c>
      <c r="E599" s="10">
        <v>87</v>
      </c>
    </row>
    <row r="600" spans="1:5">
      <c r="A600" s="1" t="s">
        <v>359</v>
      </c>
      <c r="B600" s="82"/>
      <c r="C600" s="17" t="s">
        <v>944</v>
      </c>
      <c r="D600" s="10">
        <v>69</v>
      </c>
      <c r="E600" s="10">
        <v>17</v>
      </c>
    </row>
    <row r="601" spans="1:5">
      <c r="A601" s="1" t="s">
        <v>359</v>
      </c>
      <c r="B601" s="82"/>
      <c r="C601" s="17" t="s">
        <v>945</v>
      </c>
      <c r="D601" s="10">
        <v>110</v>
      </c>
      <c r="E601" s="10">
        <v>89</v>
      </c>
    </row>
    <row r="602" spans="1:5">
      <c r="A602" s="1" t="s">
        <v>359</v>
      </c>
      <c r="B602" s="82"/>
      <c r="C602" s="17" t="s">
        <v>946</v>
      </c>
      <c r="D602" s="10">
        <v>47</v>
      </c>
      <c r="E602" s="10">
        <v>21</v>
      </c>
    </row>
    <row r="603" spans="1:5">
      <c r="A603" s="1" t="s">
        <v>359</v>
      </c>
      <c r="B603" s="82"/>
      <c r="C603" s="17" t="s">
        <v>363</v>
      </c>
      <c r="D603" s="10">
        <v>52</v>
      </c>
      <c r="E603" s="10">
        <v>28</v>
      </c>
    </row>
    <row r="604" spans="1:5">
      <c r="A604" s="1" t="s">
        <v>359</v>
      </c>
      <c r="B604" s="82"/>
      <c r="C604" s="17" t="s">
        <v>567</v>
      </c>
      <c r="D604" s="10">
        <v>50</v>
      </c>
      <c r="E604" s="10">
        <v>24</v>
      </c>
    </row>
    <row r="605" spans="1:5">
      <c r="A605" s="1" t="s">
        <v>359</v>
      </c>
      <c r="B605" s="82"/>
      <c r="C605" s="17" t="s">
        <v>947</v>
      </c>
      <c r="D605" s="10">
        <v>70</v>
      </c>
      <c r="E605" s="10">
        <v>55</v>
      </c>
    </row>
    <row r="606" spans="1:5">
      <c r="A606" s="1" t="s">
        <v>359</v>
      </c>
      <c r="B606" s="82" t="s">
        <v>948</v>
      </c>
      <c r="C606" s="17" t="s">
        <v>396</v>
      </c>
      <c r="D606" s="10">
        <v>126</v>
      </c>
      <c r="E606" s="10">
        <v>70</v>
      </c>
    </row>
    <row r="607" spans="1:5">
      <c r="A607" s="1" t="s">
        <v>359</v>
      </c>
      <c r="B607" s="82"/>
      <c r="C607" s="17" t="s">
        <v>397</v>
      </c>
      <c r="D607" s="10">
        <v>137</v>
      </c>
      <c r="E607" s="10">
        <v>50</v>
      </c>
    </row>
    <row r="608" spans="1:5">
      <c r="A608" s="1" t="s">
        <v>359</v>
      </c>
      <c r="B608" s="82"/>
      <c r="C608" s="17" t="s">
        <v>398</v>
      </c>
      <c r="D608" s="10">
        <v>65</v>
      </c>
      <c r="E608" s="10">
        <v>38</v>
      </c>
    </row>
    <row r="609" spans="1:5">
      <c r="A609" s="1" t="s">
        <v>359</v>
      </c>
      <c r="B609" s="82"/>
      <c r="C609" s="17" t="s">
        <v>399</v>
      </c>
      <c r="D609" s="10">
        <v>45</v>
      </c>
      <c r="E609" s="10">
        <v>8</v>
      </c>
    </row>
    <row r="610" spans="1:5">
      <c r="A610" s="1" t="s">
        <v>359</v>
      </c>
      <c r="B610" s="82"/>
      <c r="C610" s="17" t="s">
        <v>400</v>
      </c>
      <c r="D610" s="12">
        <v>68</v>
      </c>
      <c r="E610" s="10">
        <v>17</v>
      </c>
    </row>
    <row r="611" spans="1:5">
      <c r="A611" s="1" t="s">
        <v>359</v>
      </c>
      <c r="B611" s="82"/>
      <c r="C611" s="17" t="s">
        <v>412</v>
      </c>
      <c r="D611" s="10">
        <v>54</v>
      </c>
      <c r="E611" s="10">
        <v>36</v>
      </c>
    </row>
    <row r="612" spans="1:5">
      <c r="A612" s="1" t="s">
        <v>359</v>
      </c>
      <c r="B612" s="82"/>
      <c r="C612" s="17" t="s">
        <v>401</v>
      </c>
      <c r="D612" s="10">
        <v>50</v>
      </c>
      <c r="E612" s="10">
        <v>20</v>
      </c>
    </row>
    <row r="613" spans="1:5">
      <c r="A613" s="1" t="s">
        <v>359</v>
      </c>
      <c r="B613" s="82"/>
      <c r="C613" s="17" t="s">
        <v>410</v>
      </c>
      <c r="D613" s="12">
        <v>32</v>
      </c>
      <c r="E613" s="12">
        <v>12</v>
      </c>
    </row>
    <row r="614" spans="1:5">
      <c r="A614" s="1" t="s">
        <v>359</v>
      </c>
      <c r="B614" s="82"/>
      <c r="C614" s="17" t="s">
        <v>409</v>
      </c>
      <c r="D614" s="10">
        <v>82</v>
      </c>
      <c r="E614" s="10">
        <v>39</v>
      </c>
    </row>
    <row r="615" spans="1:5">
      <c r="A615" s="1" t="s">
        <v>359</v>
      </c>
      <c r="B615" s="82"/>
      <c r="C615" s="17" t="s">
        <v>403</v>
      </c>
      <c r="D615" s="10">
        <v>100</v>
      </c>
      <c r="E615" s="10">
        <v>35</v>
      </c>
    </row>
    <row r="616" spans="1:5">
      <c r="A616" s="1" t="s">
        <v>359</v>
      </c>
      <c r="B616" s="82"/>
      <c r="C616" s="17" t="s">
        <v>949</v>
      </c>
      <c r="D616" s="10">
        <v>78</v>
      </c>
      <c r="E616" s="10">
        <v>39</v>
      </c>
    </row>
    <row r="617" spans="1:5">
      <c r="A617" s="1" t="s">
        <v>359</v>
      </c>
      <c r="B617" s="82"/>
      <c r="C617" s="17" t="s">
        <v>349</v>
      </c>
      <c r="D617" s="10">
        <v>69</v>
      </c>
      <c r="E617" s="10">
        <v>42</v>
      </c>
    </row>
    <row r="618" spans="1:5">
      <c r="A618" s="1" t="s">
        <v>359</v>
      </c>
      <c r="B618" s="82"/>
      <c r="C618" s="17" t="s">
        <v>413</v>
      </c>
      <c r="D618" s="10">
        <v>72</v>
      </c>
      <c r="E618" s="10">
        <v>47</v>
      </c>
    </row>
    <row r="619" spans="1:5">
      <c r="A619" s="1" t="s">
        <v>359</v>
      </c>
      <c r="B619" s="82"/>
      <c r="C619" s="17" t="s">
        <v>404</v>
      </c>
      <c r="D619" s="10"/>
      <c r="E619" s="10"/>
    </row>
    <row r="620" spans="1:5">
      <c r="A620" s="1" t="s">
        <v>359</v>
      </c>
      <c r="B620" s="82"/>
      <c r="C620" s="17" t="s">
        <v>405</v>
      </c>
      <c r="D620" s="10">
        <v>50</v>
      </c>
      <c r="E620" s="10">
        <v>20</v>
      </c>
    </row>
    <row r="621" spans="1:5">
      <c r="A621" s="1" t="s">
        <v>359</v>
      </c>
      <c r="B621" s="82"/>
      <c r="C621" s="17" t="s">
        <v>406</v>
      </c>
      <c r="D621" s="10">
        <v>44</v>
      </c>
      <c r="E621" s="10">
        <v>14</v>
      </c>
    </row>
    <row r="622" spans="1:5">
      <c r="A622" s="1" t="s">
        <v>359</v>
      </c>
      <c r="B622" s="82"/>
      <c r="C622" s="17" t="s">
        <v>411</v>
      </c>
      <c r="D622" s="10"/>
      <c r="E622" s="10"/>
    </row>
    <row r="623" spans="1:5">
      <c r="A623" s="1" t="s">
        <v>359</v>
      </c>
      <c r="B623" s="82"/>
      <c r="C623" s="17" t="s">
        <v>407</v>
      </c>
      <c r="D623" s="10"/>
      <c r="E623" s="10"/>
    </row>
    <row r="624" spans="1:5">
      <c r="A624" s="1" t="s">
        <v>359</v>
      </c>
      <c r="B624" s="82"/>
      <c r="C624" s="17" t="s">
        <v>408</v>
      </c>
      <c r="D624" s="10"/>
      <c r="E624" s="10"/>
    </row>
    <row r="625" spans="1:5">
      <c r="A625" s="1" t="s">
        <v>359</v>
      </c>
      <c r="B625" s="82"/>
      <c r="C625" s="17" t="s">
        <v>950</v>
      </c>
      <c r="D625" s="10"/>
      <c r="E625" s="10"/>
    </row>
    <row r="626" spans="1:5">
      <c r="A626" s="1" t="s">
        <v>359</v>
      </c>
      <c r="B626" s="82"/>
      <c r="C626" s="17" t="s">
        <v>951</v>
      </c>
      <c r="D626" s="10"/>
      <c r="E626" s="10"/>
    </row>
    <row r="627" spans="1:5">
      <c r="A627" s="1" t="s">
        <v>359</v>
      </c>
      <c r="B627" s="82"/>
      <c r="C627" s="17" t="s">
        <v>421</v>
      </c>
      <c r="D627" s="10">
        <v>45</v>
      </c>
      <c r="E627" s="10">
        <v>36</v>
      </c>
    </row>
    <row r="628" spans="1:5">
      <c r="A628" s="1" t="s">
        <v>359</v>
      </c>
      <c r="B628" s="82"/>
      <c r="C628" s="17" t="s">
        <v>952</v>
      </c>
      <c r="D628" s="10"/>
      <c r="E628" s="10"/>
    </row>
    <row r="629" spans="1:5">
      <c r="A629" s="1" t="s">
        <v>359</v>
      </c>
      <c r="B629" s="82" t="s">
        <v>953</v>
      </c>
      <c r="C629" s="18" t="s">
        <v>414</v>
      </c>
      <c r="D629" s="10">
        <v>290</v>
      </c>
      <c r="E629" s="10">
        <v>376</v>
      </c>
    </row>
    <row r="630" spans="1:5">
      <c r="A630" s="1" t="s">
        <v>359</v>
      </c>
      <c r="B630" s="82"/>
      <c r="C630" s="17" t="s">
        <v>415</v>
      </c>
      <c r="D630" s="10">
        <v>37</v>
      </c>
      <c r="E630" s="10">
        <v>28</v>
      </c>
    </row>
    <row r="631" spans="1:5">
      <c r="A631" s="1" t="s">
        <v>359</v>
      </c>
      <c r="B631" s="82"/>
      <c r="C631" s="17" t="s">
        <v>416</v>
      </c>
      <c r="D631" s="10"/>
      <c r="E631" s="10"/>
    </row>
    <row r="632" spans="1:5">
      <c r="A632" s="22" t="s">
        <v>423</v>
      </c>
      <c r="B632" s="80" t="s">
        <v>1127</v>
      </c>
      <c r="C632" s="23" t="s">
        <v>955</v>
      </c>
      <c r="D632" s="4">
        <v>86</v>
      </c>
      <c r="E632" s="4">
        <v>31</v>
      </c>
    </row>
    <row r="633" spans="1:5">
      <c r="A633" s="22" t="s">
        <v>423</v>
      </c>
      <c r="B633" s="80"/>
      <c r="C633" s="23" t="s">
        <v>956</v>
      </c>
      <c r="D633" s="4">
        <v>37</v>
      </c>
      <c r="E633" s="4">
        <v>25</v>
      </c>
    </row>
    <row r="634" spans="1:5">
      <c r="A634" s="22" t="s">
        <v>423</v>
      </c>
      <c r="B634" s="80"/>
      <c r="C634" s="23" t="s">
        <v>957</v>
      </c>
      <c r="D634" s="4">
        <v>30</v>
      </c>
      <c r="E634" s="4">
        <v>12</v>
      </c>
    </row>
    <row r="635" spans="1:5">
      <c r="A635" s="22" t="s">
        <v>423</v>
      </c>
      <c r="B635" s="80"/>
      <c r="C635" s="23" t="s">
        <v>958</v>
      </c>
      <c r="D635" s="4">
        <v>50</v>
      </c>
      <c r="E635" s="4">
        <v>12</v>
      </c>
    </row>
    <row r="636" spans="1:5">
      <c r="A636" s="22" t="s">
        <v>423</v>
      </c>
      <c r="B636" s="80"/>
      <c r="C636" s="23" t="s">
        <v>959</v>
      </c>
      <c r="D636" s="4">
        <v>50</v>
      </c>
      <c r="E636" s="4">
        <v>18</v>
      </c>
    </row>
    <row r="637" spans="1:5">
      <c r="A637" s="22" t="s">
        <v>423</v>
      </c>
      <c r="B637" s="80"/>
      <c r="C637" s="23" t="s">
        <v>960</v>
      </c>
      <c r="D637" s="4">
        <v>120</v>
      </c>
      <c r="E637" s="4">
        <v>23</v>
      </c>
    </row>
    <row r="638" spans="1:5">
      <c r="A638" s="22" t="s">
        <v>423</v>
      </c>
      <c r="B638" s="80"/>
      <c r="C638" s="23" t="s">
        <v>961</v>
      </c>
      <c r="D638" s="4">
        <v>70</v>
      </c>
      <c r="E638" s="4">
        <v>27</v>
      </c>
    </row>
    <row r="639" spans="1:5">
      <c r="A639" s="22" t="s">
        <v>423</v>
      </c>
      <c r="B639" s="80"/>
      <c r="C639" s="23" t="s">
        <v>432</v>
      </c>
      <c r="D639" s="4">
        <v>42</v>
      </c>
      <c r="E639" s="4">
        <v>42</v>
      </c>
    </row>
    <row r="640" spans="1:5">
      <c r="A640" s="22" t="s">
        <v>423</v>
      </c>
      <c r="B640" s="80"/>
      <c r="C640" s="23" t="s">
        <v>430</v>
      </c>
      <c r="D640" s="4">
        <v>100</v>
      </c>
      <c r="E640" s="4">
        <v>26</v>
      </c>
    </row>
    <row r="641" spans="1:5">
      <c r="A641" s="22" t="s">
        <v>423</v>
      </c>
      <c r="B641" s="81" t="s">
        <v>954</v>
      </c>
      <c r="C641" s="23" t="s">
        <v>962</v>
      </c>
      <c r="D641" s="4">
        <v>44</v>
      </c>
      <c r="E641" s="4">
        <v>25</v>
      </c>
    </row>
    <row r="642" spans="1:5">
      <c r="A642" s="22" t="s">
        <v>423</v>
      </c>
      <c r="B642" s="81"/>
      <c r="C642" s="23" t="s">
        <v>963</v>
      </c>
      <c r="D642" s="4">
        <v>66</v>
      </c>
      <c r="E642" s="4">
        <v>25</v>
      </c>
    </row>
    <row r="643" spans="1:5">
      <c r="A643" s="22" t="s">
        <v>423</v>
      </c>
      <c r="B643" s="81"/>
      <c r="C643" s="23" t="s">
        <v>433</v>
      </c>
      <c r="D643" s="4">
        <v>80</v>
      </c>
      <c r="E643" s="4">
        <v>21</v>
      </c>
    </row>
    <row r="644" spans="1:5">
      <c r="A644" s="22" t="s">
        <v>423</v>
      </c>
      <c r="B644" s="81"/>
      <c r="C644" s="23" t="s">
        <v>434</v>
      </c>
      <c r="D644" s="4">
        <v>100</v>
      </c>
      <c r="E644" s="4">
        <v>25</v>
      </c>
    </row>
    <row r="645" spans="1:5">
      <c r="A645" s="22" t="s">
        <v>423</v>
      </c>
      <c r="B645" s="81"/>
      <c r="C645" s="23" t="s">
        <v>435</v>
      </c>
      <c r="D645" s="4">
        <v>66</v>
      </c>
      <c r="E645" s="4">
        <v>13</v>
      </c>
    </row>
    <row r="646" spans="1:5">
      <c r="A646" s="22" t="s">
        <v>423</v>
      </c>
      <c r="B646" s="81"/>
      <c r="C646" s="23" t="s">
        <v>964</v>
      </c>
      <c r="D646" s="4">
        <v>66</v>
      </c>
      <c r="E646" s="4">
        <v>47</v>
      </c>
    </row>
    <row r="647" spans="1:5">
      <c r="A647" s="22" t="s">
        <v>423</v>
      </c>
      <c r="B647" s="81"/>
      <c r="C647" s="23" t="s">
        <v>436</v>
      </c>
      <c r="D647" s="4">
        <v>38</v>
      </c>
      <c r="E647" s="4">
        <v>18</v>
      </c>
    </row>
    <row r="648" spans="1:5">
      <c r="A648" s="22" t="s">
        <v>423</v>
      </c>
      <c r="B648" s="81"/>
      <c r="C648" s="23" t="s">
        <v>965</v>
      </c>
      <c r="D648" s="4">
        <v>80</v>
      </c>
      <c r="E648" s="4">
        <v>42</v>
      </c>
    </row>
    <row r="649" spans="1:5">
      <c r="A649" s="22" t="s">
        <v>423</v>
      </c>
      <c r="B649" s="81"/>
      <c r="C649" s="23" t="s">
        <v>439</v>
      </c>
      <c r="D649" s="4">
        <v>54</v>
      </c>
      <c r="E649" s="4">
        <v>24</v>
      </c>
    </row>
    <row r="650" spans="1:5">
      <c r="A650" s="22" t="s">
        <v>423</v>
      </c>
      <c r="B650" s="81"/>
      <c r="C650" s="23" t="s">
        <v>440</v>
      </c>
      <c r="D650" s="4">
        <v>70</v>
      </c>
      <c r="E650" s="4">
        <v>24</v>
      </c>
    </row>
    <row r="651" spans="1:5">
      <c r="A651" s="22" t="s">
        <v>423</v>
      </c>
      <c r="B651" s="81"/>
      <c r="C651" s="23" t="s">
        <v>441</v>
      </c>
      <c r="D651" s="4">
        <v>40</v>
      </c>
      <c r="E651" s="4">
        <v>18</v>
      </c>
    </row>
    <row r="652" spans="1:5">
      <c r="A652" s="22" t="s">
        <v>423</v>
      </c>
      <c r="B652" s="81"/>
      <c r="C652" s="23" t="s">
        <v>437</v>
      </c>
      <c r="D652" s="4">
        <v>40</v>
      </c>
      <c r="E652" s="4">
        <v>18</v>
      </c>
    </row>
    <row r="653" spans="1:5">
      <c r="A653" s="22" t="s">
        <v>423</v>
      </c>
      <c r="B653" s="81"/>
      <c r="C653" s="23" t="s">
        <v>438</v>
      </c>
      <c r="D653" s="4">
        <v>30</v>
      </c>
      <c r="E653" s="4">
        <v>18</v>
      </c>
    </row>
    <row r="654" spans="1:5">
      <c r="A654" s="22" t="s">
        <v>423</v>
      </c>
      <c r="B654" s="23" t="s">
        <v>966</v>
      </c>
      <c r="C654" s="23" t="s">
        <v>442</v>
      </c>
      <c r="D654" s="4">
        <v>95</v>
      </c>
      <c r="E654" s="4">
        <v>18</v>
      </c>
    </row>
    <row r="655" spans="1:5">
      <c r="A655" s="22" t="s">
        <v>423</v>
      </c>
      <c r="B655" s="23" t="s">
        <v>967</v>
      </c>
      <c r="C655" s="23" t="s">
        <v>11</v>
      </c>
      <c r="D655" s="4">
        <v>50</v>
      </c>
      <c r="E655" s="4">
        <v>19</v>
      </c>
    </row>
    <row r="656" spans="1:5">
      <c r="A656" s="22" t="s">
        <v>449</v>
      </c>
      <c r="B656" s="23" t="s">
        <v>449</v>
      </c>
      <c r="C656" s="23" t="s">
        <v>450</v>
      </c>
      <c r="D656" s="4">
        <v>96</v>
      </c>
      <c r="E656" s="4">
        <v>98</v>
      </c>
    </row>
    <row r="657" spans="1:5">
      <c r="A657" s="22" t="s">
        <v>449</v>
      </c>
      <c r="B657" s="23" t="s">
        <v>449</v>
      </c>
      <c r="C657" s="23" t="s">
        <v>451</v>
      </c>
      <c r="D657" s="4">
        <v>154</v>
      </c>
      <c r="E657" s="4">
        <v>95</v>
      </c>
    </row>
    <row r="658" spans="1:5">
      <c r="A658" s="22" t="s">
        <v>449</v>
      </c>
      <c r="B658" s="23" t="s">
        <v>449</v>
      </c>
      <c r="C658" s="23" t="s">
        <v>55</v>
      </c>
      <c r="D658" s="4">
        <v>100</v>
      </c>
      <c r="E658" s="4">
        <v>100</v>
      </c>
    </row>
    <row r="659" spans="1:5">
      <c r="A659" s="22" t="s">
        <v>449</v>
      </c>
      <c r="B659" s="23" t="s">
        <v>449</v>
      </c>
      <c r="C659" s="23" t="s">
        <v>552</v>
      </c>
      <c r="D659" s="4">
        <v>40</v>
      </c>
      <c r="E659" s="4">
        <v>45</v>
      </c>
    </row>
    <row r="660" spans="1:5">
      <c r="A660" s="22" t="s">
        <v>449</v>
      </c>
      <c r="B660" s="23" t="s">
        <v>449</v>
      </c>
      <c r="C660" s="23" t="s">
        <v>452</v>
      </c>
      <c r="D660" s="4">
        <v>111</v>
      </c>
      <c r="E660" s="4">
        <v>153</v>
      </c>
    </row>
    <row r="661" spans="1:5">
      <c r="A661" s="22" t="s">
        <v>449</v>
      </c>
      <c r="B661" s="23" t="s">
        <v>1101</v>
      </c>
      <c r="C661" s="23" t="s">
        <v>55</v>
      </c>
      <c r="D661" s="4">
        <v>46</v>
      </c>
      <c r="E661" s="4">
        <v>90</v>
      </c>
    </row>
    <row r="662" spans="1:5">
      <c r="A662" s="22" t="s">
        <v>449</v>
      </c>
      <c r="B662" s="23" t="s">
        <v>1101</v>
      </c>
      <c r="C662" s="23" t="s">
        <v>453</v>
      </c>
      <c r="D662" s="4">
        <v>62</v>
      </c>
      <c r="E662" s="4">
        <v>62</v>
      </c>
    </row>
    <row r="663" spans="1:5">
      <c r="A663" s="22" t="s">
        <v>449</v>
      </c>
      <c r="B663" s="23" t="s">
        <v>1100</v>
      </c>
      <c r="C663" s="23" t="s">
        <v>424</v>
      </c>
      <c r="D663" s="4">
        <v>74</v>
      </c>
      <c r="E663" s="4">
        <v>72</v>
      </c>
    </row>
    <row r="664" spans="1:5">
      <c r="A664" s="22" t="s">
        <v>449</v>
      </c>
      <c r="B664" s="23" t="s">
        <v>1100</v>
      </c>
      <c r="C664" s="23" t="s">
        <v>454</v>
      </c>
      <c r="D664" s="4">
        <v>0</v>
      </c>
      <c r="E664" s="4">
        <v>0</v>
      </c>
    </row>
    <row r="665" spans="1:5">
      <c r="A665" s="22" t="s">
        <v>449</v>
      </c>
      <c r="B665" s="23" t="s">
        <v>1100</v>
      </c>
      <c r="C665" s="23" t="s">
        <v>455</v>
      </c>
      <c r="D665" s="4">
        <v>0</v>
      </c>
      <c r="E665" s="4">
        <v>0</v>
      </c>
    </row>
    <row r="666" spans="1:5">
      <c r="A666" s="22" t="s">
        <v>449</v>
      </c>
      <c r="B666" s="23" t="s">
        <v>1099</v>
      </c>
      <c r="C666" s="23" t="s">
        <v>448</v>
      </c>
      <c r="D666" s="4">
        <v>60</v>
      </c>
      <c r="E666" s="4">
        <v>51</v>
      </c>
    </row>
    <row r="667" spans="1:5">
      <c r="A667" s="22" t="s">
        <v>449</v>
      </c>
      <c r="B667" s="23" t="s">
        <v>1099</v>
      </c>
      <c r="C667" s="23" t="s">
        <v>55</v>
      </c>
      <c r="D667" s="4">
        <v>100</v>
      </c>
      <c r="E667" s="4">
        <v>70</v>
      </c>
    </row>
    <row r="668" spans="1:5">
      <c r="A668" s="22" t="s">
        <v>449</v>
      </c>
      <c r="B668" s="23" t="s">
        <v>1099</v>
      </c>
      <c r="C668" s="23" t="s">
        <v>59</v>
      </c>
      <c r="D668" s="4">
        <v>0</v>
      </c>
      <c r="E668" s="4">
        <v>0</v>
      </c>
    </row>
    <row r="669" spans="1:5">
      <c r="A669" s="22" t="s">
        <v>449</v>
      </c>
      <c r="B669" s="23" t="s">
        <v>1098</v>
      </c>
      <c r="C669" s="23" t="s">
        <v>457</v>
      </c>
      <c r="D669" s="4">
        <v>75</v>
      </c>
      <c r="E669" s="4">
        <v>43</v>
      </c>
    </row>
    <row r="670" spans="1:5">
      <c r="A670" s="22" t="s">
        <v>449</v>
      </c>
      <c r="B670" s="23" t="s">
        <v>1098</v>
      </c>
      <c r="C670" s="23" t="s">
        <v>458</v>
      </c>
      <c r="D670" s="4">
        <v>62</v>
      </c>
      <c r="E670" s="4">
        <v>76</v>
      </c>
    </row>
    <row r="671" spans="1:5">
      <c r="A671" s="22" t="s">
        <v>449</v>
      </c>
      <c r="B671" s="23" t="s">
        <v>1098</v>
      </c>
      <c r="C671" s="23" t="s">
        <v>459</v>
      </c>
      <c r="D671" s="4">
        <v>59</v>
      </c>
      <c r="E671" s="4">
        <v>20</v>
      </c>
    </row>
    <row r="672" spans="1:5">
      <c r="A672" s="22" t="s">
        <v>449</v>
      </c>
      <c r="B672" s="23" t="s">
        <v>1098</v>
      </c>
      <c r="C672" s="23" t="s">
        <v>460</v>
      </c>
      <c r="D672" s="4">
        <v>64</v>
      </c>
      <c r="E672" s="4">
        <v>56</v>
      </c>
    </row>
    <row r="673" spans="1:5">
      <c r="A673" s="22" t="s">
        <v>449</v>
      </c>
      <c r="B673" s="23" t="s">
        <v>1098</v>
      </c>
      <c r="C673" s="23" t="s">
        <v>461</v>
      </c>
      <c r="D673" s="4">
        <v>40</v>
      </c>
      <c r="E673" s="4">
        <v>19</v>
      </c>
    </row>
    <row r="674" spans="1:5">
      <c r="A674" s="22" t="s">
        <v>449</v>
      </c>
      <c r="B674" s="23" t="s">
        <v>1098</v>
      </c>
      <c r="C674" s="23" t="s">
        <v>194</v>
      </c>
      <c r="D674" s="4">
        <v>109</v>
      </c>
      <c r="E674" s="4">
        <v>50</v>
      </c>
    </row>
    <row r="675" spans="1:5">
      <c r="A675" s="22" t="s">
        <v>449</v>
      </c>
      <c r="B675" s="23" t="s">
        <v>1098</v>
      </c>
      <c r="C675" s="23" t="s">
        <v>57</v>
      </c>
      <c r="D675" s="4">
        <v>39</v>
      </c>
      <c r="E675" s="4">
        <v>52</v>
      </c>
    </row>
    <row r="676" spans="1:5">
      <c r="A676" s="22" t="s">
        <v>449</v>
      </c>
      <c r="B676" s="23" t="s">
        <v>1098</v>
      </c>
      <c r="C676" s="23" t="s">
        <v>462</v>
      </c>
      <c r="D676" s="4">
        <v>56</v>
      </c>
      <c r="E676" s="4">
        <v>46</v>
      </c>
    </row>
    <row r="677" spans="1:5">
      <c r="A677" s="22" t="s">
        <v>449</v>
      </c>
      <c r="B677" s="23" t="s">
        <v>1098</v>
      </c>
      <c r="C677" s="23" t="s">
        <v>463</v>
      </c>
      <c r="D677" s="4">
        <v>80</v>
      </c>
      <c r="E677" s="4">
        <v>60</v>
      </c>
    </row>
    <row r="678" spans="1:5">
      <c r="A678" s="22" t="s">
        <v>449</v>
      </c>
      <c r="B678" s="23" t="s">
        <v>1097</v>
      </c>
      <c r="C678" s="23" t="s">
        <v>464</v>
      </c>
      <c r="D678" s="4">
        <v>68</v>
      </c>
      <c r="E678" s="4">
        <v>48</v>
      </c>
    </row>
    <row r="679" spans="1:5">
      <c r="A679" s="22" t="s">
        <v>449</v>
      </c>
      <c r="B679" s="23" t="s">
        <v>1097</v>
      </c>
      <c r="C679" s="23" t="s">
        <v>52</v>
      </c>
      <c r="D679" s="4">
        <v>40</v>
      </c>
      <c r="E679" s="4">
        <v>47</v>
      </c>
    </row>
    <row r="680" spans="1:5">
      <c r="A680" s="22" t="s">
        <v>449</v>
      </c>
      <c r="B680" s="23" t="s">
        <v>1097</v>
      </c>
      <c r="C680" s="23" t="s">
        <v>465</v>
      </c>
      <c r="D680" s="4">
        <v>50</v>
      </c>
      <c r="E680" s="4">
        <v>46</v>
      </c>
    </row>
    <row r="681" spans="1:5">
      <c r="A681" s="22" t="s">
        <v>449</v>
      </c>
      <c r="B681" s="23" t="s">
        <v>1097</v>
      </c>
      <c r="C681" s="23" t="s">
        <v>466</v>
      </c>
      <c r="D681" s="4">
        <v>62</v>
      </c>
      <c r="E681" s="4">
        <v>34</v>
      </c>
    </row>
    <row r="682" spans="1:5">
      <c r="A682" s="22" t="s">
        <v>449</v>
      </c>
      <c r="B682" s="23" t="s">
        <v>1096</v>
      </c>
      <c r="C682" s="23" t="s">
        <v>445</v>
      </c>
      <c r="D682" s="4">
        <v>55</v>
      </c>
      <c r="E682" s="4">
        <v>31</v>
      </c>
    </row>
    <row r="683" spans="1:5">
      <c r="A683" s="22" t="s">
        <v>449</v>
      </c>
      <c r="B683" s="23" t="s">
        <v>1096</v>
      </c>
      <c r="C683" s="23" t="s">
        <v>52</v>
      </c>
      <c r="D683" s="4">
        <v>86</v>
      </c>
      <c r="E683" s="4">
        <v>26</v>
      </c>
    </row>
    <row r="684" spans="1:5">
      <c r="A684" s="22" t="s">
        <v>449</v>
      </c>
      <c r="B684" s="23" t="s">
        <v>1096</v>
      </c>
      <c r="C684" s="23" t="s">
        <v>11</v>
      </c>
      <c r="D684" s="4">
        <v>0</v>
      </c>
      <c r="E684" s="4">
        <v>0</v>
      </c>
    </row>
    <row r="685" spans="1:5">
      <c r="A685" s="22" t="s">
        <v>449</v>
      </c>
      <c r="B685" s="23" t="s">
        <v>1096</v>
      </c>
      <c r="C685" s="23" t="s">
        <v>467</v>
      </c>
      <c r="D685" s="4">
        <v>89</v>
      </c>
      <c r="E685" s="4">
        <v>52</v>
      </c>
    </row>
    <row r="686" spans="1:5">
      <c r="A686" s="22" t="s">
        <v>449</v>
      </c>
      <c r="B686" s="23" t="s">
        <v>1095</v>
      </c>
      <c r="C686" s="23" t="s">
        <v>468</v>
      </c>
      <c r="D686" s="4">
        <v>41</v>
      </c>
      <c r="E686" s="4">
        <v>52</v>
      </c>
    </row>
    <row r="687" spans="1:5">
      <c r="A687" s="22" t="s">
        <v>449</v>
      </c>
      <c r="B687" s="23" t="s">
        <v>1095</v>
      </c>
      <c r="C687" s="23" t="s">
        <v>56</v>
      </c>
      <c r="D687" s="4">
        <v>37</v>
      </c>
      <c r="E687" s="4">
        <v>63</v>
      </c>
    </row>
    <row r="688" spans="1:5">
      <c r="A688" s="22" t="s">
        <v>449</v>
      </c>
      <c r="B688" s="23" t="s">
        <v>1095</v>
      </c>
      <c r="C688" s="23" t="s">
        <v>469</v>
      </c>
      <c r="D688" s="4">
        <v>37</v>
      </c>
      <c r="E688" s="4">
        <v>28</v>
      </c>
    </row>
    <row r="689" spans="1:5">
      <c r="A689" s="22" t="s">
        <v>449</v>
      </c>
      <c r="B689" s="23" t="s">
        <v>1095</v>
      </c>
      <c r="C689" s="23" t="s">
        <v>446</v>
      </c>
      <c r="D689" s="4">
        <v>89</v>
      </c>
      <c r="E689" s="4">
        <v>67</v>
      </c>
    </row>
    <row r="690" spans="1:5">
      <c r="A690" s="22" t="s">
        <v>449</v>
      </c>
      <c r="B690" s="23" t="s">
        <v>1095</v>
      </c>
      <c r="C690" s="23" t="s">
        <v>470</v>
      </c>
      <c r="D690" s="4">
        <v>30</v>
      </c>
      <c r="E690" s="4">
        <v>18</v>
      </c>
    </row>
    <row r="691" spans="1:5">
      <c r="A691" s="22" t="s">
        <v>449</v>
      </c>
      <c r="B691" s="23" t="s">
        <v>1094</v>
      </c>
      <c r="C691" s="23" t="s">
        <v>471</v>
      </c>
      <c r="D691" s="4">
        <v>63</v>
      </c>
      <c r="E691" s="4">
        <v>115</v>
      </c>
    </row>
    <row r="692" spans="1:5">
      <c r="A692" s="22" t="s">
        <v>449</v>
      </c>
      <c r="B692" s="23" t="s">
        <v>1094</v>
      </c>
      <c r="C692" s="23" t="s">
        <v>472</v>
      </c>
      <c r="D692" s="4">
        <v>51</v>
      </c>
      <c r="E692" s="4">
        <v>19</v>
      </c>
    </row>
    <row r="693" spans="1:5">
      <c r="A693" s="22" t="s">
        <v>449</v>
      </c>
      <c r="B693" s="23" t="s">
        <v>1094</v>
      </c>
      <c r="C693" s="23" t="s">
        <v>54</v>
      </c>
      <c r="D693" s="4">
        <v>39</v>
      </c>
      <c r="E693" s="4">
        <v>16</v>
      </c>
    </row>
    <row r="694" spans="1:5">
      <c r="A694" s="22" t="s">
        <v>449</v>
      </c>
      <c r="B694" s="23" t="s">
        <v>1094</v>
      </c>
      <c r="C694" s="23" t="s">
        <v>198</v>
      </c>
      <c r="D694" s="4">
        <v>91</v>
      </c>
      <c r="E694" s="4">
        <v>43</v>
      </c>
    </row>
    <row r="695" spans="1:5">
      <c r="A695" s="22" t="s">
        <v>449</v>
      </c>
      <c r="B695" s="23" t="s">
        <v>1094</v>
      </c>
      <c r="C695" s="23" t="s">
        <v>473</v>
      </c>
      <c r="D695" s="4">
        <v>81</v>
      </c>
      <c r="E695" s="4">
        <v>35</v>
      </c>
    </row>
    <row r="696" spans="1:5">
      <c r="A696" s="22" t="s">
        <v>449</v>
      </c>
      <c r="B696" s="23" t="s">
        <v>1094</v>
      </c>
      <c r="C696" s="23" t="s">
        <v>55</v>
      </c>
      <c r="D696" s="4">
        <v>75</v>
      </c>
      <c r="E696" s="4">
        <v>50</v>
      </c>
    </row>
    <row r="697" spans="1:5">
      <c r="A697" s="22" t="s">
        <v>449</v>
      </c>
      <c r="B697" s="23" t="s">
        <v>1094</v>
      </c>
      <c r="C697" s="23" t="s">
        <v>198</v>
      </c>
      <c r="D697" s="4">
        <v>61</v>
      </c>
      <c r="E697" s="4">
        <v>35</v>
      </c>
    </row>
    <row r="698" spans="1:5">
      <c r="A698" s="22" t="s">
        <v>449</v>
      </c>
      <c r="B698" s="23" t="s">
        <v>1094</v>
      </c>
      <c r="C698" s="23" t="s">
        <v>474</v>
      </c>
      <c r="D698" s="4">
        <v>62</v>
      </c>
      <c r="E698" s="4">
        <v>38</v>
      </c>
    </row>
    <row r="699" spans="1:5">
      <c r="A699" s="22" t="s">
        <v>449</v>
      </c>
      <c r="B699" s="23" t="s">
        <v>1094</v>
      </c>
      <c r="C699" s="23" t="s">
        <v>52</v>
      </c>
      <c r="D699" s="4">
        <v>0</v>
      </c>
      <c r="E699" s="4">
        <v>0</v>
      </c>
    </row>
    <row r="700" spans="1:5">
      <c r="A700" s="22" t="s">
        <v>449</v>
      </c>
      <c r="B700" s="23" t="s">
        <v>1093</v>
      </c>
      <c r="C700" s="23" t="s">
        <v>54</v>
      </c>
      <c r="D700" s="4">
        <v>30</v>
      </c>
      <c r="E700" s="4">
        <v>27</v>
      </c>
    </row>
    <row r="701" spans="1:5">
      <c r="A701" s="22" t="s">
        <v>449</v>
      </c>
      <c r="B701" s="23" t="s">
        <v>1093</v>
      </c>
      <c r="C701" s="23" t="s">
        <v>52</v>
      </c>
      <c r="D701" s="4">
        <v>133</v>
      </c>
      <c r="E701" s="4">
        <v>44</v>
      </c>
    </row>
    <row r="702" spans="1:5">
      <c r="A702" s="22" t="s">
        <v>449</v>
      </c>
      <c r="B702" s="23" t="s">
        <v>1093</v>
      </c>
      <c r="C702" s="23" t="s">
        <v>475</v>
      </c>
      <c r="D702" s="4">
        <v>28</v>
      </c>
      <c r="E702" s="4">
        <v>27</v>
      </c>
    </row>
    <row r="703" spans="1:5">
      <c r="A703" s="22" t="s">
        <v>449</v>
      </c>
      <c r="B703" s="23" t="s">
        <v>1093</v>
      </c>
      <c r="C703" s="23" t="s">
        <v>476</v>
      </c>
      <c r="D703" s="4">
        <v>66</v>
      </c>
      <c r="E703" s="4">
        <v>36</v>
      </c>
    </row>
    <row r="704" spans="1:5">
      <c r="A704" s="22" t="s">
        <v>449</v>
      </c>
      <c r="B704" s="23" t="s">
        <v>1093</v>
      </c>
      <c r="C704" s="23" t="s">
        <v>56</v>
      </c>
      <c r="D704" s="4">
        <v>62</v>
      </c>
      <c r="E704" s="4">
        <v>31</v>
      </c>
    </row>
    <row r="705" spans="1:5">
      <c r="A705" s="22" t="s">
        <v>449</v>
      </c>
      <c r="B705" s="23" t="s">
        <v>1093</v>
      </c>
      <c r="C705" s="23" t="s">
        <v>7</v>
      </c>
      <c r="D705" s="4">
        <v>68</v>
      </c>
      <c r="E705" s="4">
        <v>30</v>
      </c>
    </row>
    <row r="706" spans="1:5">
      <c r="A706" s="22" t="s">
        <v>449</v>
      </c>
      <c r="B706" s="23" t="s">
        <v>1093</v>
      </c>
      <c r="C706" s="23" t="s">
        <v>448</v>
      </c>
      <c r="D706" s="4">
        <v>44</v>
      </c>
      <c r="E706" s="4">
        <v>29</v>
      </c>
    </row>
    <row r="707" spans="1:5">
      <c r="A707" s="22" t="s">
        <v>449</v>
      </c>
      <c r="B707" s="23" t="s">
        <v>1093</v>
      </c>
      <c r="C707" s="23" t="s">
        <v>55</v>
      </c>
      <c r="D707" s="4">
        <v>0</v>
      </c>
      <c r="E707" s="4">
        <v>0</v>
      </c>
    </row>
    <row r="708" spans="1:5">
      <c r="A708" s="22" t="s">
        <v>481</v>
      </c>
      <c r="B708" s="20" t="s">
        <v>884</v>
      </c>
      <c r="C708" s="20" t="s">
        <v>187</v>
      </c>
      <c r="D708" s="3"/>
      <c r="E708" s="9">
        <v>17</v>
      </c>
    </row>
    <row r="709" spans="1:5">
      <c r="A709" s="22" t="s">
        <v>481</v>
      </c>
      <c r="B709" s="82" t="s">
        <v>885</v>
      </c>
      <c r="C709" s="20" t="s">
        <v>486</v>
      </c>
      <c r="D709" s="3">
        <v>38</v>
      </c>
      <c r="E709" s="9">
        <v>64</v>
      </c>
    </row>
    <row r="710" spans="1:5">
      <c r="A710" s="22" t="s">
        <v>481</v>
      </c>
      <c r="B710" s="82"/>
      <c r="C710" s="20" t="s">
        <v>477</v>
      </c>
      <c r="D710" s="3">
        <v>36</v>
      </c>
      <c r="E710" s="9">
        <v>27</v>
      </c>
    </row>
    <row r="711" spans="1:5">
      <c r="A711" s="22" t="s">
        <v>481</v>
      </c>
      <c r="B711" s="82"/>
      <c r="C711" s="20" t="s">
        <v>492</v>
      </c>
      <c r="D711" s="3"/>
      <c r="E711" s="9">
        <v>42</v>
      </c>
    </row>
    <row r="712" spans="1:5">
      <c r="A712" s="22" t="s">
        <v>481</v>
      </c>
      <c r="B712" s="82"/>
      <c r="C712" s="20" t="s">
        <v>1211</v>
      </c>
      <c r="D712" s="3">
        <v>30</v>
      </c>
      <c r="E712" s="9">
        <v>39</v>
      </c>
    </row>
    <row r="713" spans="1:5">
      <c r="A713" s="22" t="s">
        <v>481</v>
      </c>
      <c r="B713" s="82" t="s">
        <v>886</v>
      </c>
      <c r="C713" s="19" t="s">
        <v>482</v>
      </c>
      <c r="D713" s="3">
        <v>10</v>
      </c>
      <c r="E713" s="9">
        <v>10</v>
      </c>
    </row>
    <row r="714" spans="1:5">
      <c r="A714" s="22" t="s">
        <v>481</v>
      </c>
      <c r="B714" s="82"/>
      <c r="C714" s="19" t="s">
        <v>483</v>
      </c>
      <c r="D714" s="3">
        <v>35</v>
      </c>
      <c r="E714" s="9">
        <v>16</v>
      </c>
    </row>
    <row r="715" spans="1:5">
      <c r="A715" s="22" t="s">
        <v>481</v>
      </c>
      <c r="B715" s="82"/>
      <c r="C715" s="19" t="s">
        <v>484</v>
      </c>
      <c r="D715" s="3">
        <v>15</v>
      </c>
      <c r="E715" s="9">
        <v>9</v>
      </c>
    </row>
    <row r="716" spans="1:5">
      <c r="A716" s="22" t="s">
        <v>481</v>
      </c>
      <c r="B716" s="82"/>
      <c r="C716" s="19" t="s">
        <v>485</v>
      </c>
      <c r="D716" s="3"/>
      <c r="E716" s="9">
        <v>32</v>
      </c>
    </row>
    <row r="717" spans="1:5">
      <c r="A717" s="22" t="s">
        <v>481</v>
      </c>
      <c r="B717" s="82"/>
      <c r="C717" s="19" t="s">
        <v>488</v>
      </c>
      <c r="D717" s="3">
        <v>30</v>
      </c>
      <c r="E717" s="9">
        <v>39</v>
      </c>
    </row>
    <row r="718" spans="1:5">
      <c r="A718" s="22" t="s">
        <v>481</v>
      </c>
      <c r="B718" s="82" t="s">
        <v>887</v>
      </c>
      <c r="C718" s="19" t="s">
        <v>493</v>
      </c>
      <c r="D718" s="3">
        <v>20</v>
      </c>
      <c r="E718" s="9">
        <v>14</v>
      </c>
    </row>
    <row r="719" spans="1:5">
      <c r="A719" s="22" t="s">
        <v>481</v>
      </c>
      <c r="B719" s="82"/>
      <c r="C719" s="19" t="s">
        <v>487</v>
      </c>
      <c r="D719" s="3">
        <v>30</v>
      </c>
      <c r="E719" s="9">
        <v>27</v>
      </c>
    </row>
    <row r="720" spans="1:5">
      <c r="A720" s="22" t="s">
        <v>481</v>
      </c>
      <c r="B720" s="82"/>
      <c r="C720" s="19" t="s">
        <v>882</v>
      </c>
      <c r="D720" s="3">
        <v>15</v>
      </c>
      <c r="E720" s="9">
        <v>25</v>
      </c>
    </row>
    <row r="721" spans="1:5">
      <c r="A721" s="22" t="s">
        <v>481</v>
      </c>
      <c r="B721" s="82" t="s">
        <v>888</v>
      </c>
      <c r="C721" s="19" t="s">
        <v>491</v>
      </c>
      <c r="D721" s="3"/>
      <c r="E721" s="9">
        <v>12</v>
      </c>
    </row>
    <row r="722" spans="1:5">
      <c r="A722" s="22" t="s">
        <v>481</v>
      </c>
      <c r="B722" s="82"/>
      <c r="C722" s="19" t="s">
        <v>883</v>
      </c>
      <c r="D722" s="3">
        <v>69</v>
      </c>
      <c r="E722" s="9">
        <v>44</v>
      </c>
    </row>
    <row r="723" spans="1:5">
      <c r="A723" s="22" t="s">
        <v>481</v>
      </c>
      <c r="B723" s="82" t="s">
        <v>889</v>
      </c>
      <c r="C723" s="19" t="s">
        <v>489</v>
      </c>
      <c r="D723" s="3"/>
      <c r="E723" s="9">
        <v>12</v>
      </c>
    </row>
    <row r="724" spans="1:5">
      <c r="A724" s="22" t="s">
        <v>481</v>
      </c>
      <c r="B724" s="82"/>
      <c r="C724" s="19" t="s">
        <v>490</v>
      </c>
      <c r="D724" s="3"/>
      <c r="E724" s="9">
        <v>24</v>
      </c>
    </row>
    <row r="725" spans="1:5">
      <c r="A725" s="1" t="s">
        <v>502</v>
      </c>
      <c r="B725" s="23" t="s">
        <v>502</v>
      </c>
      <c r="C725" s="27" t="s">
        <v>503</v>
      </c>
      <c r="D725" s="28">
        <f>363+70</f>
        <v>433</v>
      </c>
      <c r="E725" s="28">
        <f>357+12</f>
        <v>369</v>
      </c>
    </row>
    <row r="726" spans="1:5">
      <c r="A726" s="1" t="s">
        <v>502</v>
      </c>
      <c r="B726" s="80" t="s">
        <v>1082</v>
      </c>
      <c r="C726" s="27" t="s">
        <v>504</v>
      </c>
      <c r="D726" s="28">
        <v>102</v>
      </c>
      <c r="E726" s="28">
        <v>74</v>
      </c>
    </row>
    <row r="727" spans="1:5">
      <c r="A727" s="1" t="s">
        <v>502</v>
      </c>
      <c r="B727" s="80"/>
      <c r="C727" s="27" t="s">
        <v>494</v>
      </c>
      <c r="D727" s="28">
        <v>114</v>
      </c>
      <c r="E727" s="28">
        <v>84</v>
      </c>
    </row>
    <row r="728" spans="1:5">
      <c r="A728" s="1" t="s">
        <v>502</v>
      </c>
      <c r="B728" s="23" t="s">
        <v>1083</v>
      </c>
      <c r="C728" s="27" t="s">
        <v>505</v>
      </c>
      <c r="D728" s="28">
        <v>195</v>
      </c>
      <c r="E728" s="28">
        <v>514</v>
      </c>
    </row>
    <row r="729" spans="1:5">
      <c r="A729" s="1" t="s">
        <v>502</v>
      </c>
      <c r="B729" s="81" t="s">
        <v>1084</v>
      </c>
      <c r="C729" s="29" t="s">
        <v>506</v>
      </c>
      <c r="D729" s="30">
        <v>120</v>
      </c>
      <c r="E729" s="30">
        <v>75</v>
      </c>
    </row>
    <row r="730" spans="1:5">
      <c r="A730" s="1" t="s">
        <v>502</v>
      </c>
      <c r="B730" s="81"/>
      <c r="C730" s="29" t="s">
        <v>507</v>
      </c>
      <c r="D730" s="30">
        <v>194</v>
      </c>
      <c r="E730" s="30">
        <v>110</v>
      </c>
    </row>
    <row r="731" spans="1:5">
      <c r="A731" s="1" t="s">
        <v>502</v>
      </c>
      <c r="B731" s="81"/>
      <c r="C731" s="29" t="s">
        <v>508</v>
      </c>
      <c r="D731" s="30">
        <v>217</v>
      </c>
      <c r="E731" s="30">
        <v>150</v>
      </c>
    </row>
    <row r="732" spans="1:5">
      <c r="A732" s="1" t="s">
        <v>502</v>
      </c>
      <c r="B732" s="81"/>
      <c r="C732" s="29" t="s">
        <v>509</v>
      </c>
      <c r="D732" s="30">
        <v>1053</v>
      </c>
      <c r="E732" s="30">
        <v>506</v>
      </c>
    </row>
    <row r="733" spans="1:5">
      <c r="A733" s="1" t="s">
        <v>502</v>
      </c>
      <c r="B733" s="81"/>
      <c r="C733" s="29" t="s">
        <v>510</v>
      </c>
      <c r="D733" s="30">
        <v>160</v>
      </c>
      <c r="E733" s="30">
        <v>40</v>
      </c>
    </row>
    <row r="734" spans="1:5">
      <c r="A734" s="1" t="s">
        <v>502</v>
      </c>
      <c r="B734" s="81" t="s">
        <v>1085</v>
      </c>
      <c r="C734" s="29" t="s">
        <v>511</v>
      </c>
      <c r="D734" s="30">
        <v>450</v>
      </c>
      <c r="E734" s="30">
        <v>115</v>
      </c>
    </row>
    <row r="735" spans="1:5">
      <c r="A735" s="1" t="s">
        <v>502</v>
      </c>
      <c r="B735" s="81"/>
      <c r="C735" s="29" t="s">
        <v>512</v>
      </c>
      <c r="D735" s="30">
        <v>420</v>
      </c>
      <c r="E735" s="30">
        <v>174</v>
      </c>
    </row>
    <row r="736" spans="1:5">
      <c r="A736" s="1" t="s">
        <v>502</v>
      </c>
      <c r="B736" s="81"/>
      <c r="C736" s="29" t="s">
        <v>513</v>
      </c>
      <c r="D736" s="30">
        <v>355</v>
      </c>
      <c r="E736" s="30">
        <v>106</v>
      </c>
    </row>
    <row r="737" spans="1:5">
      <c r="A737" s="1" t="s">
        <v>502</v>
      </c>
      <c r="B737" s="81"/>
      <c r="C737" s="29" t="s">
        <v>514</v>
      </c>
      <c r="D737" s="30">
        <v>78</v>
      </c>
      <c r="E737" s="30">
        <v>71</v>
      </c>
    </row>
    <row r="738" spans="1:5">
      <c r="A738" s="1" t="s">
        <v>502</v>
      </c>
      <c r="B738" s="81" t="s">
        <v>1086</v>
      </c>
      <c r="C738" s="29" t="s">
        <v>348</v>
      </c>
      <c r="D738" s="30">
        <v>715</v>
      </c>
      <c r="E738" s="30">
        <v>579</v>
      </c>
    </row>
    <row r="739" spans="1:5">
      <c r="A739" s="1" t="s">
        <v>502</v>
      </c>
      <c r="B739" s="81"/>
      <c r="C739" s="29" t="s">
        <v>515</v>
      </c>
      <c r="D739" s="30">
        <v>15</v>
      </c>
      <c r="E739" s="30">
        <v>15</v>
      </c>
    </row>
    <row r="740" spans="1:5">
      <c r="A740" s="1" t="s">
        <v>502</v>
      </c>
      <c r="B740" s="81"/>
      <c r="C740" s="29" t="s">
        <v>516</v>
      </c>
      <c r="D740" s="30">
        <v>150</v>
      </c>
      <c r="E740" s="30">
        <v>22</v>
      </c>
    </row>
    <row r="741" spans="1:5">
      <c r="A741" s="1" t="s">
        <v>502</v>
      </c>
      <c r="B741" s="81"/>
      <c r="C741" s="29" t="s">
        <v>517</v>
      </c>
      <c r="D741" s="30">
        <v>10</v>
      </c>
      <c r="E741" s="30">
        <v>30</v>
      </c>
    </row>
    <row r="742" spans="1:5">
      <c r="A742" s="1" t="s">
        <v>502</v>
      </c>
      <c r="B742" s="81"/>
      <c r="C742" s="29" t="s">
        <v>1091</v>
      </c>
      <c r="D742" s="30">
        <v>50</v>
      </c>
      <c r="E742" s="30">
        <v>19</v>
      </c>
    </row>
    <row r="743" spans="1:5">
      <c r="A743" s="1" t="s">
        <v>502</v>
      </c>
      <c r="B743" s="81" t="s">
        <v>1087</v>
      </c>
      <c r="C743" s="29" t="s">
        <v>518</v>
      </c>
      <c r="D743" s="30">
        <v>672</v>
      </c>
      <c r="E743" s="30">
        <v>538</v>
      </c>
    </row>
    <row r="744" spans="1:5">
      <c r="A744" s="1" t="s">
        <v>502</v>
      </c>
      <c r="B744" s="81"/>
      <c r="C744" s="29" t="s">
        <v>480</v>
      </c>
      <c r="D744" s="30">
        <v>250</v>
      </c>
      <c r="E744" s="30">
        <v>98</v>
      </c>
    </row>
    <row r="745" spans="1:5">
      <c r="A745" s="1" t="s">
        <v>502</v>
      </c>
      <c r="B745" s="81"/>
      <c r="C745" s="29" t="s">
        <v>519</v>
      </c>
      <c r="D745" s="30">
        <v>100</v>
      </c>
      <c r="E745" s="30">
        <v>120</v>
      </c>
    </row>
    <row r="746" spans="1:5">
      <c r="A746" s="1" t="s">
        <v>502</v>
      </c>
      <c r="B746" s="81"/>
      <c r="C746" s="29" t="s">
        <v>520</v>
      </c>
      <c r="D746" s="30">
        <v>21</v>
      </c>
      <c r="E746" s="30">
        <v>23</v>
      </c>
    </row>
    <row r="747" spans="1:5">
      <c r="A747" s="1" t="s">
        <v>502</v>
      </c>
      <c r="B747" s="81" t="s">
        <v>1088</v>
      </c>
      <c r="C747" s="29" t="s">
        <v>521</v>
      </c>
      <c r="D747" s="30">
        <v>200</v>
      </c>
      <c r="E747" s="30">
        <v>92</v>
      </c>
    </row>
    <row r="748" spans="1:5">
      <c r="A748" s="1" t="s">
        <v>502</v>
      </c>
      <c r="B748" s="81"/>
      <c r="C748" s="29" t="s">
        <v>522</v>
      </c>
      <c r="D748" s="30">
        <v>74</v>
      </c>
      <c r="E748" s="30">
        <v>29</v>
      </c>
    </row>
    <row r="749" spans="1:5">
      <c r="A749" s="1" t="s">
        <v>502</v>
      </c>
      <c r="B749" s="81"/>
      <c r="C749" s="29" t="s">
        <v>523</v>
      </c>
      <c r="D749" s="30">
        <v>150</v>
      </c>
      <c r="E749" s="30">
        <v>22</v>
      </c>
    </row>
    <row r="750" spans="1:5">
      <c r="A750" s="1" t="s">
        <v>502</v>
      </c>
      <c r="B750" s="81" t="s">
        <v>501</v>
      </c>
      <c r="C750" s="29" t="s">
        <v>501</v>
      </c>
      <c r="D750" s="30">
        <v>1098</v>
      </c>
      <c r="E750" s="30">
        <v>700</v>
      </c>
    </row>
    <row r="751" spans="1:5">
      <c r="A751" s="1" t="s">
        <v>502</v>
      </c>
      <c r="B751" s="81"/>
      <c r="C751" s="29" t="s">
        <v>524</v>
      </c>
      <c r="D751" s="30">
        <v>144</v>
      </c>
      <c r="E751" s="30">
        <v>101</v>
      </c>
    </row>
    <row r="752" spans="1:5">
      <c r="A752" s="1" t="s">
        <v>502</v>
      </c>
      <c r="B752" s="81"/>
      <c r="C752" s="29" t="s">
        <v>525</v>
      </c>
      <c r="D752" s="30">
        <v>552</v>
      </c>
      <c r="E752" s="30">
        <v>145</v>
      </c>
    </row>
    <row r="753" spans="1:5">
      <c r="A753" s="1" t="s">
        <v>502</v>
      </c>
      <c r="B753" s="81" t="s">
        <v>500</v>
      </c>
      <c r="C753" s="29" t="s">
        <v>500</v>
      </c>
      <c r="D753" s="30">
        <v>1405</v>
      </c>
      <c r="E753" s="30">
        <v>576</v>
      </c>
    </row>
    <row r="754" spans="1:5">
      <c r="A754" s="1" t="s">
        <v>502</v>
      </c>
      <c r="B754" s="81"/>
      <c r="C754" s="29" t="s">
        <v>499</v>
      </c>
      <c r="D754" s="30">
        <v>2314</v>
      </c>
      <c r="E754" s="30">
        <v>1030</v>
      </c>
    </row>
    <row r="755" spans="1:5">
      <c r="A755" s="1" t="s">
        <v>502</v>
      </c>
      <c r="B755" s="81"/>
      <c r="C755" s="29" t="s">
        <v>427</v>
      </c>
      <c r="D755" s="30">
        <v>1002</v>
      </c>
      <c r="E755" s="30">
        <v>784</v>
      </c>
    </row>
    <row r="756" spans="1:5">
      <c r="A756" s="1" t="s">
        <v>502</v>
      </c>
      <c r="B756" s="81" t="s">
        <v>1089</v>
      </c>
      <c r="C756" s="29" t="s">
        <v>526</v>
      </c>
      <c r="D756" s="30">
        <v>1025</v>
      </c>
      <c r="E756" s="30">
        <v>171</v>
      </c>
    </row>
    <row r="757" spans="1:5">
      <c r="A757" s="1" t="s">
        <v>502</v>
      </c>
      <c r="B757" s="81"/>
      <c r="C757" s="29" t="s">
        <v>527</v>
      </c>
      <c r="D757" s="30">
        <v>1068</v>
      </c>
      <c r="E757" s="30">
        <v>215</v>
      </c>
    </row>
    <row r="758" spans="1:5">
      <c r="A758" s="1" t="s">
        <v>502</v>
      </c>
      <c r="B758" s="81"/>
      <c r="C758" s="29" t="s">
        <v>528</v>
      </c>
      <c r="D758" s="30">
        <v>1145</v>
      </c>
      <c r="E758" s="30">
        <v>238</v>
      </c>
    </row>
    <row r="759" spans="1:5">
      <c r="A759" s="1" t="s">
        <v>502</v>
      </c>
      <c r="B759" s="81"/>
      <c r="C759" s="29" t="s">
        <v>532</v>
      </c>
      <c r="D759" s="30">
        <v>873</v>
      </c>
      <c r="E759" s="30">
        <v>525</v>
      </c>
    </row>
    <row r="760" spans="1:5">
      <c r="A760" s="1" t="s">
        <v>502</v>
      </c>
      <c r="B760" s="81"/>
      <c r="C760" s="29" t="s">
        <v>1092</v>
      </c>
      <c r="D760" s="30">
        <v>107</v>
      </c>
      <c r="E760" s="30">
        <v>32</v>
      </c>
    </row>
    <row r="761" spans="1:5">
      <c r="A761" s="1" t="s">
        <v>502</v>
      </c>
      <c r="B761" s="81" t="s">
        <v>498</v>
      </c>
      <c r="C761" s="29" t="s">
        <v>498</v>
      </c>
      <c r="D761" s="30">
        <v>1523</v>
      </c>
      <c r="E761" s="30">
        <v>1151</v>
      </c>
    </row>
    <row r="762" spans="1:5">
      <c r="A762" s="1" t="s">
        <v>502</v>
      </c>
      <c r="B762" s="81"/>
      <c r="C762" s="29" t="s">
        <v>529</v>
      </c>
      <c r="D762" s="30">
        <v>1181</v>
      </c>
      <c r="E762" s="30">
        <v>1269</v>
      </c>
    </row>
    <row r="763" spans="1:5">
      <c r="A763" s="1" t="s">
        <v>502</v>
      </c>
      <c r="B763" s="81"/>
      <c r="C763" s="29" t="s">
        <v>530</v>
      </c>
      <c r="D763" s="30">
        <v>1318</v>
      </c>
      <c r="E763" s="30">
        <v>435</v>
      </c>
    </row>
    <row r="764" spans="1:5">
      <c r="A764" s="1" t="s">
        <v>502</v>
      </c>
      <c r="B764" s="81" t="s">
        <v>497</v>
      </c>
      <c r="C764" s="29" t="s">
        <v>531</v>
      </c>
      <c r="D764" s="30">
        <v>1106</v>
      </c>
      <c r="E764" s="30">
        <v>329</v>
      </c>
    </row>
    <row r="765" spans="1:5">
      <c r="A765" s="1" t="s">
        <v>502</v>
      </c>
      <c r="B765" s="81"/>
      <c r="C765" s="29" t="s">
        <v>497</v>
      </c>
      <c r="D765" s="30">
        <v>2683</v>
      </c>
      <c r="E765" s="30">
        <v>1662</v>
      </c>
    </row>
    <row r="766" spans="1:5">
      <c r="A766" s="1" t="s">
        <v>502</v>
      </c>
      <c r="B766" s="81"/>
      <c r="C766" s="29" t="s">
        <v>456</v>
      </c>
      <c r="D766" s="30">
        <v>866</v>
      </c>
      <c r="E766" s="30">
        <f>388+141</f>
        <v>529</v>
      </c>
    </row>
    <row r="767" spans="1:5">
      <c r="A767" s="1" t="s">
        <v>502</v>
      </c>
      <c r="B767" s="20" t="s">
        <v>495</v>
      </c>
      <c r="C767" s="29" t="s">
        <v>495</v>
      </c>
      <c r="D767" s="30">
        <v>1158</v>
      </c>
      <c r="E767" s="30">
        <v>893</v>
      </c>
    </row>
    <row r="768" spans="1:5">
      <c r="A768" s="1" t="s">
        <v>502</v>
      </c>
      <c r="B768" s="81" t="s">
        <v>1090</v>
      </c>
      <c r="C768" s="29" t="s">
        <v>533</v>
      </c>
      <c r="D768" s="30">
        <v>193</v>
      </c>
      <c r="E768" s="30">
        <v>32</v>
      </c>
    </row>
    <row r="769" spans="1:5">
      <c r="A769" s="1" t="s">
        <v>502</v>
      </c>
      <c r="B769" s="81"/>
      <c r="C769" s="29" t="s">
        <v>479</v>
      </c>
      <c r="D769" s="30">
        <v>56</v>
      </c>
      <c r="E769" s="30">
        <v>32</v>
      </c>
    </row>
    <row r="770" spans="1:5">
      <c r="A770" s="1" t="s">
        <v>563</v>
      </c>
      <c r="B770" s="80" t="s">
        <v>1105</v>
      </c>
      <c r="C770" s="1" t="s">
        <v>1113</v>
      </c>
      <c r="D770" s="14">
        <v>43</v>
      </c>
      <c r="E770" s="14">
        <v>39</v>
      </c>
    </row>
    <row r="771" spans="1:5">
      <c r="A771" s="1" t="s">
        <v>563</v>
      </c>
      <c r="B771" s="80"/>
      <c r="C771" s="1" t="s">
        <v>534</v>
      </c>
      <c r="D771" s="14">
        <v>43</v>
      </c>
      <c r="E771" s="14">
        <v>38</v>
      </c>
    </row>
    <row r="772" spans="1:5">
      <c r="A772" s="1" t="s">
        <v>563</v>
      </c>
      <c r="B772" s="80"/>
      <c r="C772" s="1" t="s">
        <v>325</v>
      </c>
      <c r="D772" s="14">
        <v>24</v>
      </c>
      <c r="E772" s="14">
        <v>13</v>
      </c>
    </row>
    <row r="773" spans="1:5">
      <c r="A773" s="1" t="s">
        <v>563</v>
      </c>
      <c r="B773" s="80"/>
      <c r="C773" s="91" t="s">
        <v>535</v>
      </c>
      <c r="D773" s="14">
        <v>65</v>
      </c>
      <c r="E773" s="14">
        <v>25</v>
      </c>
    </row>
    <row r="774" spans="1:5">
      <c r="A774" s="1" t="s">
        <v>563</v>
      </c>
      <c r="B774" s="80"/>
      <c r="C774" s="91"/>
      <c r="D774" s="14">
        <v>37</v>
      </c>
      <c r="E774" s="14">
        <v>15</v>
      </c>
    </row>
    <row r="775" spans="1:5">
      <c r="A775" s="1" t="s">
        <v>563</v>
      </c>
      <c r="B775" s="80"/>
      <c r="C775" s="1" t="s">
        <v>348</v>
      </c>
      <c r="D775" s="14">
        <v>1319</v>
      </c>
      <c r="E775" s="14">
        <v>102</v>
      </c>
    </row>
    <row r="776" spans="1:5">
      <c r="A776" s="1" t="s">
        <v>563</v>
      </c>
      <c r="B776" s="80"/>
      <c r="C776" s="1" t="s">
        <v>560</v>
      </c>
      <c r="D776" s="14">
        <v>73</v>
      </c>
      <c r="E776" s="14">
        <v>72</v>
      </c>
    </row>
    <row r="777" spans="1:5">
      <c r="A777" s="1" t="s">
        <v>563</v>
      </c>
      <c r="B777" s="80"/>
      <c r="C777" s="1" t="s">
        <v>547</v>
      </c>
      <c r="D777" s="14">
        <v>50</v>
      </c>
      <c r="E777" s="14">
        <v>39</v>
      </c>
    </row>
    <row r="778" spans="1:5">
      <c r="A778" s="1" t="s">
        <v>563</v>
      </c>
      <c r="B778" s="80" t="s">
        <v>1106</v>
      </c>
      <c r="C778" s="1" t="s">
        <v>536</v>
      </c>
      <c r="D778" s="14">
        <v>157</v>
      </c>
      <c r="E778" s="14">
        <v>100</v>
      </c>
    </row>
    <row r="779" spans="1:5">
      <c r="A779" s="1" t="s">
        <v>563</v>
      </c>
      <c r="B779" s="80"/>
      <c r="C779" s="1" t="s">
        <v>1114</v>
      </c>
      <c r="D779" s="14">
        <v>72</v>
      </c>
      <c r="E779" s="14">
        <v>50</v>
      </c>
    </row>
    <row r="780" spans="1:5">
      <c r="A780" s="1" t="s">
        <v>563</v>
      </c>
      <c r="B780" s="80"/>
      <c r="C780" s="1" t="s">
        <v>552</v>
      </c>
      <c r="D780" s="14">
        <v>47</v>
      </c>
      <c r="E780" s="14">
        <v>26</v>
      </c>
    </row>
    <row r="781" spans="1:5">
      <c r="A781" s="1" t="s">
        <v>563</v>
      </c>
      <c r="B781" s="80"/>
      <c r="C781" s="1" t="s">
        <v>1115</v>
      </c>
      <c r="D781" s="14">
        <v>15</v>
      </c>
      <c r="E781" s="14">
        <v>15</v>
      </c>
    </row>
    <row r="782" spans="1:5">
      <c r="A782" s="1" t="s">
        <v>563</v>
      </c>
      <c r="B782" s="80"/>
      <c r="C782" s="1" t="s">
        <v>455</v>
      </c>
      <c r="D782" s="14">
        <v>30</v>
      </c>
      <c r="E782" s="14">
        <v>15</v>
      </c>
    </row>
    <row r="783" spans="1:5">
      <c r="A783" s="1" t="s">
        <v>563</v>
      </c>
      <c r="B783" s="80"/>
      <c r="C783" s="1" t="s">
        <v>553</v>
      </c>
      <c r="D783" s="14">
        <v>57</v>
      </c>
      <c r="E783" s="14">
        <v>49</v>
      </c>
    </row>
    <row r="784" spans="1:5">
      <c r="A784" s="1" t="s">
        <v>563</v>
      </c>
      <c r="B784" s="80"/>
      <c r="C784" s="1" t="s">
        <v>11</v>
      </c>
      <c r="D784" s="14">
        <v>185</v>
      </c>
      <c r="E784" s="14">
        <v>47</v>
      </c>
    </row>
    <row r="785" spans="1:5">
      <c r="A785" s="1" t="s">
        <v>563</v>
      </c>
      <c r="B785" s="78" t="s">
        <v>1107</v>
      </c>
      <c r="C785" s="1" t="s">
        <v>556</v>
      </c>
      <c r="D785" s="14">
        <v>26</v>
      </c>
      <c r="E785" s="14">
        <v>35</v>
      </c>
    </row>
    <row r="786" spans="1:5">
      <c r="A786" s="1" t="s">
        <v>563</v>
      </c>
      <c r="B786" s="78"/>
      <c r="C786" s="1" t="s">
        <v>557</v>
      </c>
      <c r="D786" s="14">
        <v>58</v>
      </c>
      <c r="E786" s="14">
        <v>17</v>
      </c>
    </row>
    <row r="787" spans="1:5">
      <c r="A787" s="1" t="s">
        <v>563</v>
      </c>
      <c r="B787" s="78"/>
      <c r="C787" s="1" t="s">
        <v>574</v>
      </c>
      <c r="D787" s="14">
        <v>87</v>
      </c>
      <c r="E787" s="14">
        <v>22</v>
      </c>
    </row>
    <row r="788" spans="1:5">
      <c r="A788" s="1" t="s">
        <v>563</v>
      </c>
      <c r="B788" s="80" t="s">
        <v>561</v>
      </c>
      <c r="C788" s="1" t="s">
        <v>558</v>
      </c>
      <c r="D788" s="14">
        <v>31</v>
      </c>
      <c r="E788" s="14">
        <v>13</v>
      </c>
    </row>
    <row r="789" spans="1:5">
      <c r="A789" s="1" t="s">
        <v>563</v>
      </c>
      <c r="B789" s="80"/>
      <c r="C789" s="1" t="s">
        <v>1116</v>
      </c>
      <c r="D789" s="14">
        <v>1728</v>
      </c>
      <c r="E789" s="14">
        <v>288</v>
      </c>
    </row>
    <row r="790" spans="1:5">
      <c r="A790" s="1" t="s">
        <v>563</v>
      </c>
      <c r="B790" s="80"/>
      <c r="C790" s="1" t="s">
        <v>1117</v>
      </c>
      <c r="D790" s="14">
        <v>100</v>
      </c>
      <c r="E790" s="14">
        <v>26</v>
      </c>
    </row>
    <row r="791" spans="1:5">
      <c r="A791" s="1" t="s">
        <v>563</v>
      </c>
      <c r="B791" s="80"/>
      <c r="C791" s="1" t="s">
        <v>559</v>
      </c>
      <c r="D791" s="14">
        <v>65</v>
      </c>
      <c r="E791" s="14">
        <v>23</v>
      </c>
    </row>
    <row r="792" spans="1:5">
      <c r="A792" s="1" t="s">
        <v>563</v>
      </c>
      <c r="B792" s="80" t="s">
        <v>1108</v>
      </c>
      <c r="C792" s="1" t="s">
        <v>1118</v>
      </c>
      <c r="D792" s="14">
        <v>110</v>
      </c>
      <c r="E792" s="14">
        <v>108</v>
      </c>
    </row>
    <row r="793" spans="1:5">
      <c r="A793" s="1" t="s">
        <v>563</v>
      </c>
      <c r="B793" s="80"/>
      <c r="C793" s="1" t="s">
        <v>1119</v>
      </c>
      <c r="D793" s="14">
        <v>54</v>
      </c>
      <c r="E793" s="14">
        <v>56</v>
      </c>
    </row>
    <row r="794" spans="1:5">
      <c r="A794" s="1" t="s">
        <v>563</v>
      </c>
      <c r="B794" s="80"/>
      <c r="C794" s="1" t="s">
        <v>537</v>
      </c>
      <c r="D794" s="14">
        <v>138</v>
      </c>
      <c r="E794" s="14">
        <v>26</v>
      </c>
    </row>
    <row r="795" spans="1:5">
      <c r="A795" s="1" t="s">
        <v>563</v>
      </c>
      <c r="B795" s="80"/>
      <c r="C795" s="1" t="s">
        <v>538</v>
      </c>
      <c r="D795" s="14">
        <v>60</v>
      </c>
      <c r="E795" s="14">
        <v>18</v>
      </c>
    </row>
    <row r="796" spans="1:5">
      <c r="A796" s="1" t="s">
        <v>563</v>
      </c>
      <c r="B796" s="80"/>
      <c r="C796" s="1" t="s">
        <v>539</v>
      </c>
      <c r="D796" s="14">
        <v>40</v>
      </c>
      <c r="E796" s="14">
        <v>22</v>
      </c>
    </row>
    <row r="797" spans="1:5" ht="15.75" customHeight="1">
      <c r="A797" s="1" t="s">
        <v>563</v>
      </c>
      <c r="B797" s="80"/>
      <c r="C797" s="1" t="s">
        <v>540</v>
      </c>
      <c r="D797" s="14">
        <v>38</v>
      </c>
      <c r="E797" s="14">
        <v>18</v>
      </c>
    </row>
    <row r="798" spans="1:5">
      <c r="A798" s="1" t="s">
        <v>563</v>
      </c>
      <c r="B798" s="80"/>
      <c r="C798" s="1" t="s">
        <v>551</v>
      </c>
      <c r="D798" s="14">
        <v>106</v>
      </c>
      <c r="E798" s="14">
        <v>39</v>
      </c>
    </row>
    <row r="799" spans="1:5">
      <c r="A799" s="1" t="s">
        <v>563</v>
      </c>
      <c r="B799" s="80"/>
      <c r="C799" s="1" t="s">
        <v>541</v>
      </c>
      <c r="D799" s="14">
        <v>43</v>
      </c>
      <c r="E799" s="14">
        <v>8</v>
      </c>
    </row>
    <row r="800" spans="1:5">
      <c r="A800" s="1" t="s">
        <v>563</v>
      </c>
      <c r="B800" s="80" t="s">
        <v>1108</v>
      </c>
      <c r="C800" s="1" t="s">
        <v>542</v>
      </c>
      <c r="D800" s="14">
        <v>80</v>
      </c>
      <c r="E800" s="14">
        <v>75</v>
      </c>
    </row>
    <row r="801" spans="1:5">
      <c r="A801" s="1" t="s">
        <v>563</v>
      </c>
      <c r="B801" s="80"/>
      <c r="C801" s="1" t="s">
        <v>411</v>
      </c>
      <c r="D801" s="14">
        <v>26</v>
      </c>
      <c r="E801" s="14">
        <v>26</v>
      </c>
    </row>
    <row r="802" spans="1:5">
      <c r="A802" s="1" t="s">
        <v>563</v>
      </c>
      <c r="B802" s="80"/>
      <c r="C802" s="1" t="s">
        <v>543</v>
      </c>
      <c r="D802" s="14">
        <v>29</v>
      </c>
      <c r="E802" s="14">
        <v>30</v>
      </c>
    </row>
    <row r="803" spans="1:5">
      <c r="A803" s="1" t="s">
        <v>563</v>
      </c>
      <c r="B803" s="80"/>
      <c r="C803" s="1" t="s">
        <v>1120</v>
      </c>
      <c r="D803" s="14">
        <v>50</v>
      </c>
      <c r="E803" s="14">
        <v>42</v>
      </c>
    </row>
    <row r="804" spans="1:5">
      <c r="A804" s="1" t="s">
        <v>563</v>
      </c>
      <c r="B804" s="80"/>
      <c r="C804" s="1" t="s">
        <v>546</v>
      </c>
      <c r="D804" s="14">
        <v>177</v>
      </c>
      <c r="E804" s="14">
        <v>85</v>
      </c>
    </row>
    <row r="805" spans="1:5" ht="15.75" customHeight="1">
      <c r="A805" s="1" t="s">
        <v>563</v>
      </c>
      <c r="B805" s="80"/>
      <c r="C805" s="1" t="s">
        <v>548</v>
      </c>
      <c r="D805" s="90" t="s">
        <v>1124</v>
      </c>
      <c r="E805" s="90"/>
    </row>
    <row r="806" spans="1:5" ht="15.75" customHeight="1">
      <c r="A806" s="1" t="s">
        <v>563</v>
      </c>
      <c r="B806" s="80"/>
      <c r="C806" s="1" t="s">
        <v>549</v>
      </c>
      <c r="D806" s="90" t="s">
        <v>1125</v>
      </c>
      <c r="E806" s="90"/>
    </row>
    <row r="807" spans="1:5">
      <c r="A807" s="1" t="s">
        <v>563</v>
      </c>
      <c r="B807" s="80"/>
      <c r="C807" s="1" t="s">
        <v>1121</v>
      </c>
      <c r="D807" s="90" t="s">
        <v>1126</v>
      </c>
      <c r="E807" s="90"/>
    </row>
    <row r="808" spans="1:5">
      <c r="A808" s="1" t="s">
        <v>563</v>
      </c>
      <c r="B808" s="80"/>
      <c r="C808" s="1" t="s">
        <v>576</v>
      </c>
      <c r="D808" s="14">
        <v>1310</v>
      </c>
      <c r="E808" s="14">
        <v>150</v>
      </c>
    </row>
    <row r="809" spans="1:5">
      <c r="A809" s="1" t="s">
        <v>563</v>
      </c>
      <c r="B809" s="80" t="s">
        <v>1109</v>
      </c>
      <c r="C809" s="1"/>
      <c r="D809" s="14">
        <v>40</v>
      </c>
      <c r="E809" s="14">
        <v>9</v>
      </c>
    </row>
    <row r="810" spans="1:5">
      <c r="A810" s="1" t="s">
        <v>563</v>
      </c>
      <c r="B810" s="80"/>
      <c r="C810" s="1" t="s">
        <v>1122</v>
      </c>
      <c r="D810" s="14">
        <v>67</v>
      </c>
      <c r="E810" s="14">
        <v>25</v>
      </c>
    </row>
    <row r="811" spans="1:5">
      <c r="A811" s="1" t="s">
        <v>563</v>
      </c>
      <c r="B811" s="80"/>
      <c r="C811" s="1" t="s">
        <v>550</v>
      </c>
      <c r="D811" s="14">
        <v>31</v>
      </c>
      <c r="E811" s="14">
        <v>28</v>
      </c>
    </row>
    <row r="812" spans="1:5">
      <c r="A812" s="1" t="s">
        <v>563</v>
      </c>
      <c r="B812" s="80" t="s">
        <v>1110</v>
      </c>
      <c r="C812" s="1" t="s">
        <v>554</v>
      </c>
      <c r="D812" s="14">
        <v>89</v>
      </c>
      <c r="E812" s="14">
        <v>22</v>
      </c>
    </row>
    <row r="813" spans="1:5">
      <c r="A813" s="1" t="s">
        <v>563</v>
      </c>
      <c r="B813" s="80"/>
      <c r="C813" s="1" t="s">
        <v>545</v>
      </c>
      <c r="D813" s="14">
        <v>20</v>
      </c>
      <c r="E813" s="14">
        <v>37</v>
      </c>
    </row>
    <row r="814" spans="1:5">
      <c r="A814" s="1" t="s">
        <v>563</v>
      </c>
      <c r="B814" s="23" t="s">
        <v>1111</v>
      </c>
      <c r="C814" s="1" t="s">
        <v>555</v>
      </c>
      <c r="D814" s="14">
        <v>50</v>
      </c>
      <c r="E814" s="14">
        <v>16</v>
      </c>
    </row>
    <row r="815" spans="1:5">
      <c r="A815" s="1" t="s">
        <v>563</v>
      </c>
      <c r="B815" s="80" t="s">
        <v>562</v>
      </c>
      <c r="C815" s="1" t="s">
        <v>1123</v>
      </c>
      <c r="D815" s="14">
        <v>872</v>
      </c>
      <c r="E815" s="14">
        <v>314</v>
      </c>
    </row>
    <row r="816" spans="1:5">
      <c r="A816" s="1" t="s">
        <v>563</v>
      </c>
      <c r="B816" s="80"/>
      <c r="C816" s="22" t="s">
        <v>544</v>
      </c>
      <c r="D816" s="3">
        <v>83</v>
      </c>
      <c r="E816" s="3">
        <v>28</v>
      </c>
    </row>
    <row r="817" spans="1:5">
      <c r="A817" s="1" t="s">
        <v>563</v>
      </c>
      <c r="B817" s="23" t="s">
        <v>1112</v>
      </c>
      <c r="C817" s="22" t="s">
        <v>1112</v>
      </c>
      <c r="D817" s="3">
        <v>2692</v>
      </c>
      <c r="E817" s="3">
        <v>358</v>
      </c>
    </row>
    <row r="818" spans="1:5">
      <c r="A818" s="1" t="s">
        <v>564</v>
      </c>
      <c r="B818" s="79" t="s">
        <v>1203</v>
      </c>
      <c r="C818" s="26" t="s">
        <v>1202</v>
      </c>
      <c r="D818" s="34">
        <v>149</v>
      </c>
      <c r="E818" s="34">
        <v>149</v>
      </c>
    </row>
    <row r="819" spans="1:5">
      <c r="A819" s="1" t="s">
        <v>564</v>
      </c>
      <c r="B819" s="79"/>
      <c r="C819" s="26" t="s">
        <v>1201</v>
      </c>
      <c r="D819" s="34">
        <v>76</v>
      </c>
      <c r="E819" s="34">
        <v>64</v>
      </c>
    </row>
    <row r="820" spans="1:5">
      <c r="A820" s="1" t="s">
        <v>564</v>
      </c>
      <c r="B820" s="79"/>
      <c r="C820" s="26" t="s">
        <v>1176</v>
      </c>
      <c r="D820" s="34">
        <v>73</v>
      </c>
      <c r="E820" s="34">
        <v>51</v>
      </c>
    </row>
    <row r="821" spans="1:5">
      <c r="A821" s="1" t="s">
        <v>564</v>
      </c>
      <c r="B821" s="79"/>
      <c r="C821" s="26" t="s">
        <v>1177</v>
      </c>
      <c r="D821" s="34">
        <v>45</v>
      </c>
      <c r="E821" s="34">
        <v>19</v>
      </c>
    </row>
    <row r="822" spans="1:5">
      <c r="A822" s="1" t="s">
        <v>564</v>
      </c>
      <c r="B822" s="79"/>
      <c r="C822" s="26" t="s">
        <v>571</v>
      </c>
      <c r="D822" s="34">
        <v>70</v>
      </c>
      <c r="E822" s="35">
        <v>74</v>
      </c>
    </row>
    <row r="823" spans="1:5">
      <c r="A823" s="1" t="s">
        <v>564</v>
      </c>
      <c r="B823" s="79" t="s">
        <v>572</v>
      </c>
      <c r="C823" s="26" t="s">
        <v>431</v>
      </c>
      <c r="D823" s="34">
        <v>85</v>
      </c>
      <c r="E823" s="34">
        <v>87</v>
      </c>
    </row>
    <row r="824" spans="1:5">
      <c r="A824" s="1" t="s">
        <v>564</v>
      </c>
      <c r="B824" s="79"/>
      <c r="C824" s="26" t="s">
        <v>1178</v>
      </c>
      <c r="D824" s="34">
        <v>111</v>
      </c>
      <c r="E824" s="35">
        <v>56</v>
      </c>
    </row>
    <row r="825" spans="1:5">
      <c r="A825" s="1" t="s">
        <v>564</v>
      </c>
      <c r="B825" s="79"/>
      <c r="C825" s="26" t="s">
        <v>1179</v>
      </c>
      <c r="D825" s="34">
        <v>53</v>
      </c>
      <c r="E825" s="35">
        <v>56</v>
      </c>
    </row>
    <row r="826" spans="1:5">
      <c r="A826" s="1" t="s">
        <v>564</v>
      </c>
      <c r="B826" s="79"/>
      <c r="C826" s="26" t="s">
        <v>444</v>
      </c>
      <c r="D826" s="34">
        <v>70</v>
      </c>
      <c r="E826" s="35">
        <v>15</v>
      </c>
    </row>
    <row r="827" spans="1:5">
      <c r="A827" s="1" t="s">
        <v>564</v>
      </c>
      <c r="B827" s="79" t="s">
        <v>1204</v>
      </c>
      <c r="C827" s="26" t="s">
        <v>1180</v>
      </c>
      <c r="D827" s="34">
        <v>65</v>
      </c>
      <c r="E827" s="34">
        <v>50</v>
      </c>
    </row>
    <row r="828" spans="1:5">
      <c r="A828" s="1" t="s">
        <v>564</v>
      </c>
      <c r="B828" s="79"/>
      <c r="C828" s="26" t="s">
        <v>1181</v>
      </c>
      <c r="D828" s="34">
        <v>71</v>
      </c>
      <c r="E828" s="34">
        <v>26</v>
      </c>
    </row>
    <row r="829" spans="1:5">
      <c r="A829" s="1" t="s">
        <v>564</v>
      </c>
      <c r="B829" s="79"/>
      <c r="C829" s="26" t="s">
        <v>1182</v>
      </c>
      <c r="D829" s="34">
        <v>87</v>
      </c>
      <c r="E829" s="34">
        <v>58</v>
      </c>
    </row>
    <row r="830" spans="1:5">
      <c r="A830" s="1" t="s">
        <v>564</v>
      </c>
      <c r="B830" s="79"/>
      <c r="C830" s="26" t="s">
        <v>1183</v>
      </c>
      <c r="D830" s="34">
        <v>70</v>
      </c>
      <c r="E830" s="34">
        <v>83</v>
      </c>
    </row>
    <row r="831" spans="1:5">
      <c r="A831" s="1" t="s">
        <v>564</v>
      </c>
      <c r="B831" s="79"/>
      <c r="C831" s="26" t="s">
        <v>1184</v>
      </c>
      <c r="D831" s="34">
        <v>74</v>
      </c>
      <c r="E831" s="34">
        <v>29</v>
      </c>
    </row>
    <row r="832" spans="1:5">
      <c r="A832" s="1" t="s">
        <v>564</v>
      </c>
      <c r="B832" s="79"/>
      <c r="C832" s="26" t="s">
        <v>568</v>
      </c>
      <c r="D832" s="34">
        <v>74</v>
      </c>
      <c r="E832" s="34">
        <v>58</v>
      </c>
    </row>
    <row r="833" spans="1:5">
      <c r="A833" s="1" t="s">
        <v>564</v>
      </c>
      <c r="B833" s="36" t="s">
        <v>1205</v>
      </c>
      <c r="C833" s="26" t="s">
        <v>1185</v>
      </c>
      <c r="D833" s="34">
        <v>70</v>
      </c>
      <c r="E833" s="35">
        <v>56</v>
      </c>
    </row>
    <row r="834" spans="1:5">
      <c r="A834" s="1" t="s">
        <v>564</v>
      </c>
      <c r="B834" s="79" t="s">
        <v>1206</v>
      </c>
      <c r="C834" s="26" t="s">
        <v>1186</v>
      </c>
      <c r="D834" s="34">
        <v>103</v>
      </c>
      <c r="E834" s="34">
        <v>133</v>
      </c>
    </row>
    <row r="835" spans="1:5">
      <c r="A835" s="1" t="s">
        <v>564</v>
      </c>
      <c r="B835" s="79"/>
      <c r="C835" s="26" t="s">
        <v>1187</v>
      </c>
      <c r="D835" s="34">
        <v>60</v>
      </c>
      <c r="E835" s="34">
        <v>49</v>
      </c>
    </row>
    <row r="836" spans="1:5">
      <c r="A836" s="1" t="s">
        <v>564</v>
      </c>
      <c r="B836" s="79"/>
      <c r="C836" s="26" t="s">
        <v>1188</v>
      </c>
      <c r="D836" s="34">
        <v>99</v>
      </c>
      <c r="E836" s="34">
        <v>109</v>
      </c>
    </row>
    <row r="837" spans="1:5">
      <c r="A837" s="1" t="s">
        <v>564</v>
      </c>
      <c r="B837" s="79"/>
      <c r="C837" s="26" t="s">
        <v>1189</v>
      </c>
      <c r="D837" s="34">
        <v>117</v>
      </c>
      <c r="E837" s="34">
        <v>85</v>
      </c>
    </row>
    <row r="838" spans="1:5">
      <c r="A838" s="1" t="s">
        <v>564</v>
      </c>
      <c r="B838" s="79"/>
      <c r="C838" s="26" t="s">
        <v>1190</v>
      </c>
      <c r="D838" s="34">
        <v>121</v>
      </c>
      <c r="E838" s="35"/>
    </row>
    <row r="839" spans="1:5">
      <c r="A839" s="1" t="s">
        <v>564</v>
      </c>
      <c r="B839" s="79"/>
      <c r="C839" s="26" t="s">
        <v>569</v>
      </c>
      <c r="D839" s="34">
        <v>80</v>
      </c>
      <c r="E839" s="34">
        <v>107</v>
      </c>
    </row>
    <row r="840" spans="1:5">
      <c r="A840" s="1" t="s">
        <v>564</v>
      </c>
      <c r="B840" s="79"/>
      <c r="C840" s="26" t="s">
        <v>1191</v>
      </c>
      <c r="D840" s="34">
        <v>88</v>
      </c>
      <c r="E840" s="34">
        <v>60</v>
      </c>
    </row>
    <row r="841" spans="1:5">
      <c r="A841" s="1" t="s">
        <v>564</v>
      </c>
      <c r="B841" s="79" t="s">
        <v>1207</v>
      </c>
      <c r="C841" s="26" t="s">
        <v>1192</v>
      </c>
      <c r="D841" s="34">
        <v>48</v>
      </c>
      <c r="E841" s="34">
        <v>42</v>
      </c>
    </row>
    <row r="842" spans="1:5">
      <c r="A842" s="1" t="s">
        <v>564</v>
      </c>
      <c r="B842" s="79"/>
      <c r="C842" s="26" t="s">
        <v>1193</v>
      </c>
      <c r="D842" s="34">
        <v>65</v>
      </c>
      <c r="E842" s="34">
        <v>125</v>
      </c>
    </row>
    <row r="843" spans="1:5">
      <c r="A843" s="1" t="s">
        <v>564</v>
      </c>
      <c r="B843" s="79"/>
      <c r="C843" s="26" t="s">
        <v>1194</v>
      </c>
      <c r="D843" s="34">
        <v>88</v>
      </c>
      <c r="E843" s="34">
        <v>103</v>
      </c>
    </row>
    <row r="844" spans="1:5">
      <c r="A844" s="1" t="s">
        <v>564</v>
      </c>
      <c r="B844" s="79"/>
      <c r="C844" s="26" t="s">
        <v>1195</v>
      </c>
      <c r="D844" s="34">
        <v>82</v>
      </c>
      <c r="E844" s="34">
        <v>28</v>
      </c>
    </row>
    <row r="845" spans="1:5">
      <c r="A845" s="1" t="s">
        <v>564</v>
      </c>
      <c r="B845" s="79"/>
      <c r="C845" s="26" t="s">
        <v>1196</v>
      </c>
      <c r="D845" s="34">
        <v>102</v>
      </c>
      <c r="E845" s="34">
        <v>125</v>
      </c>
    </row>
    <row r="846" spans="1:5">
      <c r="A846" s="1" t="s">
        <v>564</v>
      </c>
      <c r="B846" s="79"/>
      <c r="C846" s="26" t="s">
        <v>1197</v>
      </c>
      <c r="D846" s="34">
        <v>50</v>
      </c>
      <c r="E846" s="37"/>
    </row>
    <row r="847" spans="1:5">
      <c r="A847" s="1" t="s">
        <v>564</v>
      </c>
      <c r="B847" s="79"/>
      <c r="C847" s="26" t="s">
        <v>570</v>
      </c>
      <c r="D847" s="34">
        <v>62</v>
      </c>
      <c r="E847" s="37"/>
    </row>
    <row r="848" spans="1:5">
      <c r="A848" s="1" t="s">
        <v>564</v>
      </c>
      <c r="B848" s="36" t="s">
        <v>1208</v>
      </c>
      <c r="C848" s="26" t="s">
        <v>1198</v>
      </c>
      <c r="D848" s="34">
        <v>175</v>
      </c>
      <c r="E848" s="34">
        <v>87</v>
      </c>
    </row>
    <row r="849" spans="1:5">
      <c r="A849" s="1" t="s">
        <v>564</v>
      </c>
      <c r="B849" s="79" t="s">
        <v>1209</v>
      </c>
      <c r="C849" s="26" t="s">
        <v>1199</v>
      </c>
      <c r="D849" s="34">
        <v>180</v>
      </c>
      <c r="E849" s="35">
        <v>1945</v>
      </c>
    </row>
    <row r="850" spans="1:5">
      <c r="A850" s="1" t="s">
        <v>564</v>
      </c>
      <c r="B850" s="79"/>
      <c r="C850" s="26" t="s">
        <v>54</v>
      </c>
      <c r="D850" s="34">
        <v>125</v>
      </c>
      <c r="E850" s="35">
        <v>468</v>
      </c>
    </row>
    <row r="851" spans="1:5">
      <c r="A851" s="1" t="s">
        <v>564</v>
      </c>
      <c r="B851" s="79"/>
      <c r="C851" s="26" t="s">
        <v>402</v>
      </c>
      <c r="D851" s="34">
        <v>128</v>
      </c>
      <c r="E851" s="35">
        <v>380</v>
      </c>
    </row>
    <row r="852" spans="1:5">
      <c r="A852" s="1" t="s">
        <v>564</v>
      </c>
      <c r="B852" s="36" t="s">
        <v>1210</v>
      </c>
      <c r="C852" s="26" t="s">
        <v>198</v>
      </c>
      <c r="D852" s="34">
        <v>452</v>
      </c>
      <c r="E852" s="35">
        <v>7</v>
      </c>
    </row>
    <row r="853" spans="1:5">
      <c r="A853" s="1" t="s">
        <v>564</v>
      </c>
      <c r="B853" s="36" t="s">
        <v>572</v>
      </c>
      <c r="C853" s="26" t="s">
        <v>1200</v>
      </c>
      <c r="D853" s="34">
        <v>50</v>
      </c>
      <c r="E853" s="34">
        <v>15</v>
      </c>
    </row>
    <row r="854" spans="1:5">
      <c r="A854" s="1" t="s">
        <v>710</v>
      </c>
      <c r="B854" s="78" t="s">
        <v>1226</v>
      </c>
      <c r="C854" s="22" t="s">
        <v>819</v>
      </c>
      <c r="D854" s="3">
        <v>64</v>
      </c>
      <c r="E854" s="3">
        <v>40</v>
      </c>
    </row>
    <row r="855" spans="1:5">
      <c r="A855" s="1" t="s">
        <v>710</v>
      </c>
      <c r="B855" s="78"/>
      <c r="C855" s="22" t="s">
        <v>820</v>
      </c>
      <c r="D855" s="3">
        <v>160</v>
      </c>
      <c r="E855" s="3">
        <v>102</v>
      </c>
    </row>
    <row r="856" spans="1:5">
      <c r="A856" s="1" t="s">
        <v>710</v>
      </c>
      <c r="B856" s="78"/>
      <c r="C856" s="22" t="s">
        <v>821</v>
      </c>
      <c r="D856" s="3">
        <v>84</v>
      </c>
      <c r="E856" s="3">
        <v>30</v>
      </c>
    </row>
    <row r="857" spans="1:5">
      <c r="A857" s="1" t="s">
        <v>710</v>
      </c>
      <c r="B857" s="78"/>
      <c r="C857" s="22" t="s">
        <v>672</v>
      </c>
      <c r="D857" s="3">
        <v>64</v>
      </c>
      <c r="E857" s="3">
        <v>34</v>
      </c>
    </row>
    <row r="858" spans="1:5">
      <c r="A858" s="1" t="s">
        <v>710</v>
      </c>
      <c r="B858" s="78"/>
      <c r="C858" s="22" t="s">
        <v>822</v>
      </c>
      <c r="D858" s="3">
        <v>160</v>
      </c>
      <c r="E858" s="3">
        <v>102</v>
      </c>
    </row>
    <row r="859" spans="1:5">
      <c r="A859" s="1" t="s">
        <v>710</v>
      </c>
      <c r="B859" s="22" t="s">
        <v>670</v>
      </c>
      <c r="C859" s="22" t="s">
        <v>670</v>
      </c>
      <c r="D859" s="3">
        <v>56</v>
      </c>
      <c r="E859" s="3">
        <v>25</v>
      </c>
    </row>
    <row r="860" spans="1:5">
      <c r="A860" s="1" t="s">
        <v>710</v>
      </c>
      <c r="B860" s="22" t="s">
        <v>673</v>
      </c>
      <c r="C860" s="22" t="s">
        <v>673</v>
      </c>
      <c r="D860" s="3">
        <v>95</v>
      </c>
      <c r="E860" s="3">
        <v>70</v>
      </c>
    </row>
    <row r="861" spans="1:5">
      <c r="A861" s="1" t="s">
        <v>710</v>
      </c>
      <c r="B861" s="22" t="s">
        <v>669</v>
      </c>
      <c r="C861" s="22" t="s">
        <v>669</v>
      </c>
      <c r="D861" s="3">
        <v>56</v>
      </c>
      <c r="E861" s="3">
        <v>31</v>
      </c>
    </row>
    <row r="862" spans="1:5">
      <c r="A862" s="1" t="s">
        <v>710</v>
      </c>
      <c r="B862" s="22" t="s">
        <v>2</v>
      </c>
      <c r="C862" s="22" t="s">
        <v>823</v>
      </c>
      <c r="D862" s="3">
        <v>578</v>
      </c>
      <c r="E862" s="3">
        <v>1078</v>
      </c>
    </row>
    <row r="863" spans="1:5">
      <c r="A863" s="1" t="s">
        <v>710</v>
      </c>
      <c r="B863" s="2" t="s">
        <v>1225</v>
      </c>
      <c r="C863" s="2" t="s">
        <v>674</v>
      </c>
      <c r="D863" s="3">
        <v>700</v>
      </c>
      <c r="E863" s="3">
        <v>1172</v>
      </c>
    </row>
    <row r="864" spans="1:5">
      <c r="A864" s="1" t="s">
        <v>710</v>
      </c>
      <c r="B864" s="22" t="s">
        <v>479</v>
      </c>
      <c r="C864" s="22" t="s">
        <v>686</v>
      </c>
      <c r="D864" s="3">
        <v>530</v>
      </c>
      <c r="E864" s="3">
        <v>1464</v>
      </c>
    </row>
    <row r="865" spans="1:5">
      <c r="A865" s="1" t="s">
        <v>710</v>
      </c>
      <c r="B865" s="22" t="s">
        <v>1223</v>
      </c>
      <c r="C865" s="22" t="s">
        <v>707</v>
      </c>
      <c r="D865" s="3">
        <v>703</v>
      </c>
      <c r="E865" s="3">
        <v>266</v>
      </c>
    </row>
    <row r="866" spans="1:5">
      <c r="A866" s="1" t="s">
        <v>710</v>
      </c>
      <c r="B866" s="22" t="s">
        <v>1224</v>
      </c>
      <c r="C866" s="22" t="s">
        <v>824</v>
      </c>
      <c r="D866" s="3">
        <v>698</v>
      </c>
      <c r="E866" s="3">
        <v>816</v>
      </c>
    </row>
    <row r="867" spans="1:5">
      <c r="A867" s="1" t="s">
        <v>710</v>
      </c>
      <c r="B867" s="78" t="s">
        <v>1212</v>
      </c>
      <c r="C867" s="2" t="s">
        <v>825</v>
      </c>
      <c r="D867" s="13">
        <v>66</v>
      </c>
      <c r="E867" s="13">
        <v>45</v>
      </c>
    </row>
    <row r="868" spans="1:5">
      <c r="A868" s="1" t="s">
        <v>710</v>
      </c>
      <c r="B868" s="78"/>
      <c r="C868" s="2" t="s">
        <v>826</v>
      </c>
      <c r="D868" s="13">
        <v>50</v>
      </c>
      <c r="E868" s="13">
        <v>35</v>
      </c>
    </row>
    <row r="869" spans="1:5">
      <c r="A869" s="1" t="s">
        <v>710</v>
      </c>
      <c r="B869" s="78"/>
      <c r="C869" s="26" t="s">
        <v>662</v>
      </c>
      <c r="D869" s="5">
        <v>72</v>
      </c>
      <c r="E869" s="5">
        <v>29</v>
      </c>
    </row>
    <row r="870" spans="1:5">
      <c r="A870" s="1" t="s">
        <v>710</v>
      </c>
      <c r="B870" s="78"/>
      <c r="C870" s="26" t="s">
        <v>60</v>
      </c>
      <c r="D870" s="5">
        <v>50</v>
      </c>
      <c r="E870" s="5"/>
    </row>
    <row r="871" spans="1:5">
      <c r="A871" s="1" t="s">
        <v>710</v>
      </c>
      <c r="B871" s="78"/>
      <c r="C871" s="26" t="s">
        <v>828</v>
      </c>
      <c r="D871" s="5">
        <v>10</v>
      </c>
      <c r="E871" s="5"/>
    </row>
    <row r="872" spans="1:5">
      <c r="A872" s="1" t="s">
        <v>710</v>
      </c>
      <c r="B872" s="78"/>
      <c r="C872" s="26" t="s">
        <v>663</v>
      </c>
      <c r="D872" s="5">
        <v>35</v>
      </c>
      <c r="E872" s="5">
        <v>30</v>
      </c>
    </row>
    <row r="873" spans="1:5">
      <c r="A873" s="1" t="s">
        <v>710</v>
      </c>
      <c r="B873" s="78"/>
      <c r="C873" s="26" t="s">
        <v>664</v>
      </c>
      <c r="D873" s="5">
        <v>28.8</v>
      </c>
      <c r="E873" s="5"/>
    </row>
    <row r="874" spans="1:5">
      <c r="A874" s="1" t="s">
        <v>710</v>
      </c>
      <c r="B874" s="78"/>
      <c r="C874" s="26" t="s">
        <v>665</v>
      </c>
      <c r="D874" s="5">
        <v>50</v>
      </c>
      <c r="E874" s="5">
        <v>32</v>
      </c>
    </row>
    <row r="875" spans="1:5">
      <c r="A875" s="1" t="s">
        <v>710</v>
      </c>
      <c r="B875" s="78"/>
      <c r="C875" s="26" t="s">
        <v>345</v>
      </c>
      <c r="D875" s="5"/>
      <c r="E875" s="5"/>
    </row>
    <row r="876" spans="1:5">
      <c r="A876" s="1" t="s">
        <v>710</v>
      </c>
      <c r="B876" s="78"/>
      <c r="C876" s="26" t="s">
        <v>666</v>
      </c>
      <c r="D876" s="5">
        <v>58</v>
      </c>
      <c r="E876" s="5">
        <v>24</v>
      </c>
    </row>
    <row r="877" spans="1:5">
      <c r="A877" s="1" t="s">
        <v>710</v>
      </c>
      <c r="B877" s="78"/>
      <c r="C877" s="26" t="s">
        <v>667</v>
      </c>
      <c r="D877" s="5">
        <v>54</v>
      </c>
      <c r="E877" s="5">
        <v>24</v>
      </c>
    </row>
    <row r="878" spans="1:5">
      <c r="A878" s="1" t="s">
        <v>710</v>
      </c>
      <c r="B878" s="78"/>
      <c r="C878" s="26" t="s">
        <v>668</v>
      </c>
      <c r="D878" s="5"/>
      <c r="E878" s="5"/>
    </row>
    <row r="879" spans="1:5">
      <c r="A879" s="1" t="s">
        <v>710</v>
      </c>
      <c r="B879" s="78" t="s">
        <v>1213</v>
      </c>
      <c r="C879" s="26" t="s">
        <v>671</v>
      </c>
      <c r="D879" s="5">
        <v>20</v>
      </c>
      <c r="E879" s="5">
        <v>50</v>
      </c>
    </row>
    <row r="880" spans="1:5">
      <c r="A880" s="1" t="s">
        <v>710</v>
      </c>
      <c r="B880" s="78"/>
      <c r="C880" s="26" t="s">
        <v>829</v>
      </c>
      <c r="D880" s="5"/>
      <c r="E880" s="5"/>
    </row>
    <row r="881" spans="1:5">
      <c r="A881" s="1" t="s">
        <v>710</v>
      </c>
      <c r="B881" s="78"/>
      <c r="C881" s="26" t="s">
        <v>830</v>
      </c>
      <c r="D881" s="5">
        <v>20</v>
      </c>
      <c r="E881" s="5">
        <v>20</v>
      </c>
    </row>
    <row r="882" spans="1:5">
      <c r="A882" s="1" t="s">
        <v>710</v>
      </c>
      <c r="B882" s="78" t="s">
        <v>1214</v>
      </c>
      <c r="C882" s="26" t="s">
        <v>675</v>
      </c>
      <c r="D882" s="5">
        <v>57</v>
      </c>
      <c r="E882" s="5">
        <v>59</v>
      </c>
    </row>
    <row r="883" spans="1:5">
      <c r="A883" s="1" t="s">
        <v>710</v>
      </c>
      <c r="B883" s="78"/>
      <c r="C883" s="26" t="s">
        <v>676</v>
      </c>
      <c r="D883" s="5">
        <v>53</v>
      </c>
      <c r="E883" s="5">
        <v>15</v>
      </c>
    </row>
    <row r="884" spans="1:5">
      <c r="A884" s="1" t="s">
        <v>710</v>
      </c>
      <c r="B884" s="78"/>
      <c r="C884" s="26" t="s">
        <v>677</v>
      </c>
      <c r="D884" s="5">
        <v>50</v>
      </c>
      <c r="E884" s="5">
        <v>40</v>
      </c>
    </row>
    <row r="885" spans="1:5">
      <c r="A885" s="1" t="s">
        <v>710</v>
      </c>
      <c r="B885" s="78"/>
      <c r="C885" s="26" t="s">
        <v>678</v>
      </c>
      <c r="D885" s="5">
        <v>30</v>
      </c>
      <c r="E885" s="5">
        <v>30</v>
      </c>
    </row>
    <row r="886" spans="1:5">
      <c r="A886" s="1" t="s">
        <v>710</v>
      </c>
      <c r="B886" s="78"/>
      <c r="C886" s="26" t="s">
        <v>679</v>
      </c>
      <c r="D886" s="5">
        <v>23</v>
      </c>
      <c r="E886" s="5"/>
    </row>
    <row r="887" spans="1:5">
      <c r="A887" s="1" t="s">
        <v>710</v>
      </c>
      <c r="B887" s="78" t="s">
        <v>1215</v>
      </c>
      <c r="C887" s="26" t="s">
        <v>680</v>
      </c>
      <c r="D887" s="5">
        <v>44</v>
      </c>
      <c r="E887" s="5">
        <v>28</v>
      </c>
    </row>
    <row r="888" spans="1:5">
      <c r="A888" s="1" t="s">
        <v>710</v>
      </c>
      <c r="B888" s="78"/>
      <c r="C888" s="26" t="s">
        <v>681</v>
      </c>
      <c r="D888" s="5">
        <v>53</v>
      </c>
      <c r="E888" s="5">
        <v>71</v>
      </c>
    </row>
    <row r="889" spans="1:5">
      <c r="A889" s="1" t="s">
        <v>710</v>
      </c>
      <c r="B889" s="78"/>
      <c r="C889" s="26" t="s">
        <v>682</v>
      </c>
      <c r="D889" s="5">
        <v>109</v>
      </c>
      <c r="E889" s="5">
        <v>52</v>
      </c>
    </row>
    <row r="890" spans="1:5">
      <c r="A890" s="1" t="s">
        <v>710</v>
      </c>
      <c r="B890" s="78"/>
      <c r="C890" s="26" t="s">
        <v>683</v>
      </c>
      <c r="D890" s="5">
        <v>25</v>
      </c>
      <c r="E890" s="5">
        <v>10</v>
      </c>
    </row>
    <row r="891" spans="1:5">
      <c r="A891" s="1" t="s">
        <v>710</v>
      </c>
      <c r="B891" s="78"/>
      <c r="C891" s="26" t="s">
        <v>684</v>
      </c>
      <c r="D891" s="5">
        <v>32</v>
      </c>
      <c r="E891" s="5"/>
    </row>
    <row r="892" spans="1:5">
      <c r="A892" s="1" t="s">
        <v>710</v>
      </c>
      <c r="B892" s="78"/>
      <c r="C892" s="26" t="s">
        <v>831</v>
      </c>
      <c r="D892" s="5"/>
      <c r="E892" s="5"/>
    </row>
    <row r="893" spans="1:5">
      <c r="A893" s="1" t="s">
        <v>710</v>
      </c>
      <c r="B893" s="78" t="s">
        <v>1216</v>
      </c>
      <c r="C893" s="26" t="s">
        <v>685</v>
      </c>
      <c r="D893" s="5">
        <v>20</v>
      </c>
      <c r="E893" s="5">
        <v>11</v>
      </c>
    </row>
    <row r="894" spans="1:5">
      <c r="A894" s="1" t="s">
        <v>710</v>
      </c>
      <c r="B894" s="78"/>
      <c r="C894" s="26" t="s">
        <v>687</v>
      </c>
      <c r="D894" s="5">
        <v>44</v>
      </c>
      <c r="E894" s="5"/>
    </row>
    <row r="895" spans="1:5">
      <c r="A895" s="1" t="s">
        <v>710</v>
      </c>
      <c r="B895" s="78"/>
      <c r="C895" s="26" t="s">
        <v>688</v>
      </c>
      <c r="D895" s="5">
        <v>36</v>
      </c>
      <c r="E895" s="5"/>
    </row>
    <row r="896" spans="1:5">
      <c r="A896" s="1" t="s">
        <v>710</v>
      </c>
      <c r="B896" s="78"/>
      <c r="C896" s="26" t="s">
        <v>832</v>
      </c>
      <c r="D896" s="5">
        <v>25</v>
      </c>
      <c r="E896" s="5">
        <v>14</v>
      </c>
    </row>
    <row r="897" spans="1:5">
      <c r="A897" s="1" t="s">
        <v>710</v>
      </c>
      <c r="B897" s="78"/>
      <c r="C897" s="26" t="s">
        <v>689</v>
      </c>
      <c r="D897" s="5">
        <v>52</v>
      </c>
      <c r="E897" s="5"/>
    </row>
    <row r="898" spans="1:5" ht="15.75" customHeight="1">
      <c r="A898" s="1" t="s">
        <v>710</v>
      </c>
      <c r="B898" s="78" t="s">
        <v>1217</v>
      </c>
      <c r="C898" s="26" t="s">
        <v>833</v>
      </c>
      <c r="D898" s="5">
        <v>300</v>
      </c>
      <c r="E898" s="5">
        <v>150</v>
      </c>
    </row>
    <row r="899" spans="1:5">
      <c r="A899" s="1" t="s">
        <v>710</v>
      </c>
      <c r="B899" s="78"/>
      <c r="C899" s="26" t="s">
        <v>834</v>
      </c>
      <c r="D899" s="5"/>
      <c r="E899" s="5"/>
    </row>
    <row r="900" spans="1:5">
      <c r="A900" s="1" t="s">
        <v>710</v>
      </c>
      <c r="B900" s="78"/>
      <c r="C900" s="26" t="s">
        <v>835</v>
      </c>
      <c r="D900" s="5"/>
      <c r="E900" s="5"/>
    </row>
    <row r="901" spans="1:5">
      <c r="A901" s="1" t="s">
        <v>710</v>
      </c>
      <c r="B901" s="78"/>
      <c r="C901" s="26" t="s">
        <v>836</v>
      </c>
      <c r="D901" s="5"/>
      <c r="E901" s="5"/>
    </row>
    <row r="902" spans="1:5">
      <c r="A902" s="1" t="s">
        <v>710</v>
      </c>
      <c r="B902" s="78" t="s">
        <v>1218</v>
      </c>
      <c r="C902" s="26" t="s">
        <v>690</v>
      </c>
      <c r="D902" s="5">
        <v>25</v>
      </c>
      <c r="E902" s="5"/>
    </row>
    <row r="903" spans="1:5">
      <c r="A903" s="1" t="s">
        <v>710</v>
      </c>
      <c r="B903" s="78"/>
      <c r="C903" s="26" t="s">
        <v>691</v>
      </c>
      <c r="D903" s="5">
        <v>78</v>
      </c>
      <c r="E903" s="5">
        <v>31</v>
      </c>
    </row>
    <row r="904" spans="1:5">
      <c r="A904" s="1" t="s">
        <v>710</v>
      </c>
      <c r="B904" s="78"/>
      <c r="C904" s="26" t="s">
        <v>692</v>
      </c>
      <c r="D904" s="5">
        <v>25</v>
      </c>
      <c r="E904" s="5">
        <v>43</v>
      </c>
    </row>
    <row r="905" spans="1:5">
      <c r="A905" s="1" t="s">
        <v>710</v>
      </c>
      <c r="B905" s="78"/>
      <c r="C905" s="26" t="s">
        <v>693</v>
      </c>
      <c r="D905" s="5">
        <v>39</v>
      </c>
      <c r="E905" s="5">
        <v>29</v>
      </c>
    </row>
    <row r="906" spans="1:5">
      <c r="A906" s="1" t="s">
        <v>710</v>
      </c>
      <c r="B906" s="78"/>
      <c r="C906" s="26" t="s">
        <v>350</v>
      </c>
      <c r="D906" s="5">
        <v>25</v>
      </c>
      <c r="E906" s="5">
        <v>26</v>
      </c>
    </row>
    <row r="907" spans="1:5">
      <c r="A907" s="1" t="s">
        <v>710</v>
      </c>
      <c r="B907" s="78"/>
      <c r="C907" s="26" t="s">
        <v>694</v>
      </c>
      <c r="D907" s="5">
        <v>100</v>
      </c>
      <c r="E907" s="5">
        <v>35</v>
      </c>
    </row>
    <row r="908" spans="1:5">
      <c r="A908" s="1" t="s">
        <v>710</v>
      </c>
      <c r="B908" s="78"/>
      <c r="C908" s="26" t="s">
        <v>695</v>
      </c>
      <c r="D908" s="5">
        <v>62</v>
      </c>
      <c r="E908" s="5">
        <v>34</v>
      </c>
    </row>
    <row r="909" spans="1:5">
      <c r="A909" s="1" t="s">
        <v>710</v>
      </c>
      <c r="B909" s="78"/>
      <c r="C909" s="26" t="s">
        <v>696</v>
      </c>
      <c r="D909" s="5">
        <v>74</v>
      </c>
      <c r="E909" s="5">
        <v>73</v>
      </c>
    </row>
    <row r="910" spans="1:5">
      <c r="A910" s="1" t="s">
        <v>710</v>
      </c>
      <c r="B910" s="78"/>
      <c r="C910" s="26" t="s">
        <v>697</v>
      </c>
      <c r="D910" s="5">
        <v>112</v>
      </c>
      <c r="E910" s="5"/>
    </row>
    <row r="911" spans="1:5">
      <c r="A911" s="1" t="s">
        <v>710</v>
      </c>
      <c r="B911" s="78"/>
      <c r="C911" s="26" t="s">
        <v>698</v>
      </c>
      <c r="D911" s="5">
        <v>63</v>
      </c>
      <c r="E911" s="5"/>
    </row>
    <row r="912" spans="1:5">
      <c r="A912" s="1" t="s">
        <v>710</v>
      </c>
      <c r="B912" s="78"/>
      <c r="C912" s="26" t="s">
        <v>699</v>
      </c>
      <c r="D912" s="5">
        <v>58</v>
      </c>
      <c r="E912" s="5"/>
    </row>
    <row r="913" spans="1:5">
      <c r="A913" s="1" t="s">
        <v>710</v>
      </c>
      <c r="B913" s="78"/>
      <c r="C913" s="26" t="s">
        <v>837</v>
      </c>
      <c r="D913" s="5">
        <v>45</v>
      </c>
      <c r="E913" s="5"/>
    </row>
    <row r="914" spans="1:5">
      <c r="A914" s="1" t="s">
        <v>710</v>
      </c>
      <c r="B914" s="78"/>
      <c r="C914" s="26" t="s">
        <v>838</v>
      </c>
      <c r="D914" s="5">
        <v>50</v>
      </c>
      <c r="E914" s="5">
        <v>40</v>
      </c>
    </row>
    <row r="915" spans="1:5">
      <c r="A915" s="1" t="s">
        <v>710</v>
      </c>
      <c r="B915" s="78"/>
      <c r="C915" s="26" t="s">
        <v>54</v>
      </c>
      <c r="D915" s="5">
        <v>20</v>
      </c>
      <c r="E915" s="5">
        <v>58</v>
      </c>
    </row>
    <row r="916" spans="1:5">
      <c r="A916" s="1" t="s">
        <v>710</v>
      </c>
      <c r="B916" s="78"/>
      <c r="C916" s="26" t="s">
        <v>839</v>
      </c>
      <c r="D916" s="5"/>
      <c r="E916" s="5"/>
    </row>
    <row r="917" spans="1:5">
      <c r="A917" s="1" t="s">
        <v>710</v>
      </c>
      <c r="B917" s="78" t="s">
        <v>1219</v>
      </c>
      <c r="C917" s="26" t="s">
        <v>840</v>
      </c>
      <c r="D917" s="5"/>
      <c r="E917" s="5"/>
    </row>
    <row r="918" spans="1:5">
      <c r="A918" s="1" t="s">
        <v>710</v>
      </c>
      <c r="B918" s="78"/>
      <c r="C918" s="26" t="s">
        <v>841</v>
      </c>
      <c r="D918" s="5"/>
      <c r="E918" s="5"/>
    </row>
    <row r="919" spans="1:5">
      <c r="A919" s="1" t="s">
        <v>710</v>
      </c>
      <c r="B919" s="78"/>
      <c r="C919" s="26" t="s">
        <v>842</v>
      </c>
      <c r="D919" s="5"/>
      <c r="E919" s="5"/>
    </row>
    <row r="920" spans="1:5">
      <c r="A920" s="1" t="s">
        <v>710</v>
      </c>
      <c r="B920" s="78"/>
      <c r="C920" s="26" t="s">
        <v>843</v>
      </c>
      <c r="D920" s="5">
        <v>10</v>
      </c>
      <c r="E920" s="5">
        <v>10</v>
      </c>
    </row>
    <row r="921" spans="1:5">
      <c r="A921" s="1" t="s">
        <v>710</v>
      </c>
      <c r="B921" s="78"/>
      <c r="C921" s="26" t="s">
        <v>844</v>
      </c>
      <c r="D921" s="5">
        <v>14</v>
      </c>
      <c r="E921" s="5">
        <v>8</v>
      </c>
    </row>
    <row r="922" spans="1:5">
      <c r="A922" s="1" t="s">
        <v>710</v>
      </c>
      <c r="B922" s="78"/>
      <c r="C922" s="26" t="s">
        <v>700</v>
      </c>
      <c r="D922" s="5">
        <v>51</v>
      </c>
      <c r="E922" s="5">
        <v>27</v>
      </c>
    </row>
    <row r="923" spans="1:5">
      <c r="A923" s="1" t="s">
        <v>710</v>
      </c>
      <c r="B923" s="78"/>
      <c r="C923" s="26" t="s">
        <v>701</v>
      </c>
      <c r="D923" s="5">
        <v>52</v>
      </c>
      <c r="E923" s="5">
        <v>36</v>
      </c>
    </row>
    <row r="924" spans="1:5">
      <c r="A924" s="1" t="s">
        <v>710</v>
      </c>
      <c r="B924" s="78"/>
      <c r="C924" s="26" t="s">
        <v>702</v>
      </c>
      <c r="D924" s="5">
        <v>65</v>
      </c>
      <c r="E924" s="5">
        <v>27</v>
      </c>
    </row>
    <row r="925" spans="1:5" ht="15.75" customHeight="1">
      <c r="A925" s="1" t="s">
        <v>710</v>
      </c>
      <c r="B925" s="78" t="s">
        <v>1220</v>
      </c>
      <c r="C925" s="26" t="s">
        <v>845</v>
      </c>
      <c r="D925" s="5">
        <v>74</v>
      </c>
      <c r="E925" s="5">
        <v>42</v>
      </c>
    </row>
    <row r="926" spans="1:5">
      <c r="A926" s="1" t="s">
        <v>710</v>
      </c>
      <c r="B926" s="78"/>
      <c r="C926" s="26" t="s">
        <v>703</v>
      </c>
      <c r="D926" s="5">
        <v>28</v>
      </c>
      <c r="E926" s="5">
        <v>12</v>
      </c>
    </row>
    <row r="927" spans="1:5">
      <c r="A927" s="1" t="s">
        <v>710</v>
      </c>
      <c r="B927" s="78"/>
      <c r="C927" s="26" t="s">
        <v>704</v>
      </c>
      <c r="D927" s="5">
        <v>50</v>
      </c>
      <c r="E927" s="5">
        <v>15</v>
      </c>
    </row>
    <row r="928" spans="1:5">
      <c r="A928" s="1" t="s">
        <v>710</v>
      </c>
      <c r="B928" s="78"/>
      <c r="C928" s="26" t="s">
        <v>705</v>
      </c>
      <c r="D928" s="5">
        <v>51</v>
      </c>
      <c r="E928" s="5">
        <v>26</v>
      </c>
    </row>
    <row r="929" spans="1:5">
      <c r="A929" s="1" t="s">
        <v>710</v>
      </c>
      <c r="B929" s="78"/>
      <c r="C929" s="26" t="s">
        <v>827</v>
      </c>
      <c r="D929" s="5"/>
      <c r="E929" s="5"/>
    </row>
    <row r="930" spans="1:5">
      <c r="A930" s="1" t="s">
        <v>710</v>
      </c>
      <c r="B930" s="78"/>
      <c r="C930" s="26" t="s">
        <v>846</v>
      </c>
      <c r="D930" s="5">
        <v>28</v>
      </c>
      <c r="E930" s="5"/>
    </row>
    <row r="931" spans="1:5">
      <c r="A931" s="1" t="s">
        <v>710</v>
      </c>
      <c r="B931" s="78"/>
      <c r="C931" s="26" t="s">
        <v>847</v>
      </c>
      <c r="D931" s="5"/>
      <c r="E931" s="5"/>
    </row>
    <row r="932" spans="1:5" ht="15.75" customHeight="1">
      <c r="A932" s="1" t="s">
        <v>710</v>
      </c>
      <c r="B932" s="78" t="s">
        <v>1221</v>
      </c>
      <c r="C932" s="26" t="s">
        <v>706</v>
      </c>
      <c r="D932" s="5">
        <v>35</v>
      </c>
      <c r="E932" s="5">
        <v>35</v>
      </c>
    </row>
    <row r="933" spans="1:5">
      <c r="A933" s="1" t="s">
        <v>710</v>
      </c>
      <c r="B933" s="78"/>
      <c r="C933" s="26" t="s">
        <v>848</v>
      </c>
      <c r="D933" s="5"/>
      <c r="E933" s="5"/>
    </row>
    <row r="934" spans="1:5">
      <c r="A934" s="1" t="s">
        <v>710</v>
      </c>
      <c r="B934" s="78"/>
      <c r="C934" s="26" t="s">
        <v>849</v>
      </c>
      <c r="D934" s="5"/>
      <c r="E934" s="5"/>
    </row>
    <row r="935" spans="1:5" ht="15.75" customHeight="1">
      <c r="A935" s="1" t="s">
        <v>710</v>
      </c>
      <c r="B935" s="78" t="s">
        <v>1222</v>
      </c>
      <c r="C935" s="26" t="s">
        <v>708</v>
      </c>
      <c r="D935" s="5">
        <v>55</v>
      </c>
      <c r="E935" s="5"/>
    </row>
    <row r="936" spans="1:5">
      <c r="A936" s="1" t="s">
        <v>710</v>
      </c>
      <c r="B936" s="78"/>
      <c r="C936" s="26" t="s">
        <v>709</v>
      </c>
      <c r="D936" s="5">
        <v>54</v>
      </c>
      <c r="E936" s="5"/>
    </row>
    <row r="937" spans="1:5">
      <c r="A937" s="1" t="s">
        <v>710</v>
      </c>
      <c r="B937" s="78"/>
      <c r="C937" s="26" t="s">
        <v>850</v>
      </c>
      <c r="D937" s="5">
        <v>45</v>
      </c>
      <c r="E937" s="5">
        <v>60</v>
      </c>
    </row>
    <row r="938" spans="1:5">
      <c r="A938" s="1" t="s">
        <v>710</v>
      </c>
      <c r="B938" s="78"/>
      <c r="C938" s="26" t="s">
        <v>851</v>
      </c>
      <c r="D938" s="5">
        <v>45</v>
      </c>
      <c r="E938" s="5">
        <v>50</v>
      </c>
    </row>
    <row r="939" spans="1:5">
      <c r="A939" s="1" t="s">
        <v>710</v>
      </c>
      <c r="B939" s="78"/>
      <c r="C939" s="26" t="s">
        <v>852</v>
      </c>
      <c r="D939" s="5"/>
      <c r="E939" s="5"/>
    </row>
    <row r="940" spans="1:5" ht="31.5">
      <c r="A940" s="1" t="s">
        <v>710</v>
      </c>
      <c r="B940" s="78"/>
      <c r="C940" s="26" t="s">
        <v>853</v>
      </c>
      <c r="D940" s="5">
        <v>10</v>
      </c>
      <c r="E940" s="5">
        <v>10</v>
      </c>
    </row>
    <row r="941" spans="1:5">
      <c r="A941" s="1" t="s">
        <v>710</v>
      </c>
      <c r="B941" s="78"/>
      <c r="C941" s="26" t="s">
        <v>854</v>
      </c>
      <c r="D941" s="5"/>
      <c r="E941" s="5" t="s">
        <v>855</v>
      </c>
    </row>
    <row r="942" spans="1:5">
      <c r="A942" s="1" t="s">
        <v>710</v>
      </c>
      <c r="B942" s="78"/>
      <c r="C942" s="22" t="s">
        <v>856</v>
      </c>
      <c r="D942" s="5">
        <v>117</v>
      </c>
      <c r="E942" s="5">
        <v>35</v>
      </c>
    </row>
    <row r="943" spans="1:5">
      <c r="A943" s="1" t="s">
        <v>711</v>
      </c>
      <c r="B943" s="77" t="s">
        <v>712</v>
      </c>
      <c r="C943" s="21" t="s">
        <v>713</v>
      </c>
      <c r="D943" s="7">
        <v>50</v>
      </c>
      <c r="E943" s="7">
        <v>20</v>
      </c>
    </row>
    <row r="944" spans="1:5">
      <c r="A944" s="1" t="s">
        <v>711</v>
      </c>
      <c r="B944" s="77"/>
      <c r="C944" s="21" t="s">
        <v>714</v>
      </c>
      <c r="D944" s="7">
        <v>116</v>
      </c>
      <c r="E944" s="7">
        <v>85</v>
      </c>
    </row>
    <row r="945" spans="1:5">
      <c r="A945" s="1" t="s">
        <v>711</v>
      </c>
      <c r="B945" s="77"/>
      <c r="C945" s="21" t="s">
        <v>715</v>
      </c>
      <c r="D945" s="7">
        <v>117</v>
      </c>
      <c r="E945" s="7">
        <v>65</v>
      </c>
    </row>
    <row r="946" spans="1:5">
      <c r="A946" s="1" t="s">
        <v>711</v>
      </c>
      <c r="B946" s="77"/>
      <c r="C946" s="21" t="s">
        <v>716</v>
      </c>
      <c r="D946" s="7">
        <v>150</v>
      </c>
      <c r="E946" s="7">
        <v>110</v>
      </c>
    </row>
    <row r="947" spans="1:5">
      <c r="A947" s="1" t="s">
        <v>711</v>
      </c>
      <c r="B947" s="77"/>
      <c r="C947" s="21" t="s">
        <v>717</v>
      </c>
      <c r="D947" s="7">
        <v>43</v>
      </c>
      <c r="E947" s="7">
        <v>120</v>
      </c>
    </row>
    <row r="948" spans="1:5">
      <c r="A948" s="1" t="s">
        <v>711</v>
      </c>
      <c r="B948" s="77"/>
      <c r="C948" s="21" t="s">
        <v>718</v>
      </c>
      <c r="D948" s="7">
        <v>63</v>
      </c>
      <c r="E948" s="7">
        <v>104</v>
      </c>
    </row>
    <row r="949" spans="1:5">
      <c r="A949" s="1" t="s">
        <v>711</v>
      </c>
      <c r="B949" s="77"/>
      <c r="C949" s="21" t="s">
        <v>719</v>
      </c>
      <c r="D949" s="7">
        <v>39</v>
      </c>
      <c r="E949" s="7">
        <v>79</v>
      </c>
    </row>
    <row r="950" spans="1:5">
      <c r="A950" s="1" t="s">
        <v>711</v>
      </c>
      <c r="B950" s="77"/>
      <c r="C950" s="21" t="s">
        <v>720</v>
      </c>
      <c r="D950" s="7">
        <v>40</v>
      </c>
      <c r="E950" s="7">
        <v>73</v>
      </c>
    </row>
    <row r="951" spans="1:5">
      <c r="A951" s="1" t="s">
        <v>711</v>
      </c>
      <c r="B951" s="77"/>
      <c r="C951" s="21" t="s">
        <v>721</v>
      </c>
      <c r="D951" s="7">
        <v>18</v>
      </c>
      <c r="E951" s="7">
        <v>190</v>
      </c>
    </row>
    <row r="952" spans="1:5">
      <c r="A952" s="1" t="s">
        <v>711</v>
      </c>
      <c r="B952" s="77"/>
      <c r="C952" s="21" t="s">
        <v>722</v>
      </c>
      <c r="D952" s="7">
        <v>611</v>
      </c>
      <c r="E952" s="7">
        <v>787</v>
      </c>
    </row>
    <row r="953" spans="1:5">
      <c r="A953" s="1" t="s">
        <v>711</v>
      </c>
      <c r="B953" s="77"/>
      <c r="C953" s="21" t="s">
        <v>723</v>
      </c>
      <c r="D953" s="7">
        <v>265</v>
      </c>
      <c r="E953" s="7">
        <v>310</v>
      </c>
    </row>
    <row r="954" spans="1:5">
      <c r="A954" s="1" t="s">
        <v>711</v>
      </c>
      <c r="B954" s="77"/>
      <c r="C954" s="21" t="s">
        <v>724</v>
      </c>
      <c r="D954" s="7">
        <v>63</v>
      </c>
      <c r="E954" s="7">
        <v>36</v>
      </c>
    </row>
    <row r="955" spans="1:5">
      <c r="A955" s="1" t="s">
        <v>711</v>
      </c>
      <c r="B955" s="77"/>
      <c r="C955" s="21" t="s">
        <v>456</v>
      </c>
      <c r="D955" s="7">
        <v>22</v>
      </c>
      <c r="E955" s="7">
        <v>22</v>
      </c>
    </row>
    <row r="956" spans="1:5">
      <c r="A956" s="1" t="s">
        <v>711</v>
      </c>
      <c r="B956" s="77"/>
      <c r="C956" s="21" t="s">
        <v>725</v>
      </c>
      <c r="D956" s="7">
        <v>159</v>
      </c>
      <c r="E956" s="7">
        <v>64</v>
      </c>
    </row>
    <row r="957" spans="1:5">
      <c r="A957" s="1" t="s">
        <v>711</v>
      </c>
      <c r="B957" s="77" t="s">
        <v>726</v>
      </c>
      <c r="C957" s="21" t="s">
        <v>727</v>
      </c>
      <c r="D957" s="7">
        <v>170</v>
      </c>
      <c r="E957" s="7">
        <v>635</v>
      </c>
    </row>
    <row r="958" spans="1:5">
      <c r="A958" s="1" t="s">
        <v>711</v>
      </c>
      <c r="B958" s="77"/>
      <c r="C958" s="21" t="s">
        <v>728</v>
      </c>
      <c r="D958" s="7">
        <v>30</v>
      </c>
      <c r="E958" s="7">
        <v>105</v>
      </c>
    </row>
    <row r="959" spans="1:5">
      <c r="A959" s="1" t="s">
        <v>711</v>
      </c>
      <c r="B959" s="77"/>
      <c r="C959" s="21" t="s">
        <v>729</v>
      </c>
      <c r="D959" s="7">
        <v>145</v>
      </c>
      <c r="E959" s="7">
        <v>400</v>
      </c>
    </row>
    <row r="960" spans="1:5">
      <c r="A960" s="1" t="s">
        <v>711</v>
      </c>
      <c r="B960" s="77"/>
      <c r="C960" s="21" t="s">
        <v>730</v>
      </c>
      <c r="D960" s="7">
        <v>33</v>
      </c>
      <c r="E960" s="7">
        <v>52</v>
      </c>
    </row>
    <row r="961" spans="1:5">
      <c r="A961" s="1" t="s">
        <v>711</v>
      </c>
      <c r="B961" s="77"/>
      <c r="C961" s="21" t="s">
        <v>731</v>
      </c>
      <c r="D961" s="7">
        <v>113</v>
      </c>
      <c r="E961" s="7">
        <v>46</v>
      </c>
    </row>
    <row r="962" spans="1:5">
      <c r="A962" s="1" t="s">
        <v>711</v>
      </c>
      <c r="B962" s="77"/>
      <c r="C962" s="21" t="s">
        <v>732</v>
      </c>
      <c r="D962" s="7">
        <v>151</v>
      </c>
      <c r="E962" s="7">
        <v>52</v>
      </c>
    </row>
    <row r="963" spans="1:5">
      <c r="A963" s="1" t="s">
        <v>711</v>
      </c>
      <c r="B963" s="77"/>
      <c r="C963" s="21" t="s">
        <v>733</v>
      </c>
      <c r="D963" s="7">
        <v>42</v>
      </c>
      <c r="E963" s="7">
        <v>16</v>
      </c>
    </row>
    <row r="964" spans="1:5">
      <c r="A964" s="1" t="s">
        <v>711</v>
      </c>
      <c r="B964" s="77" t="s">
        <v>734</v>
      </c>
      <c r="C964" s="21" t="s">
        <v>735</v>
      </c>
      <c r="D964" s="7">
        <v>300</v>
      </c>
      <c r="E964" s="7">
        <v>750</v>
      </c>
    </row>
    <row r="965" spans="1:5">
      <c r="A965" s="1" t="s">
        <v>711</v>
      </c>
      <c r="B965" s="77"/>
      <c r="C965" s="21" t="s">
        <v>736</v>
      </c>
      <c r="D965" s="7">
        <v>290</v>
      </c>
      <c r="E965" s="7">
        <v>400</v>
      </c>
    </row>
    <row r="966" spans="1:5">
      <c r="A966" s="1" t="s">
        <v>711</v>
      </c>
      <c r="B966" s="77" t="s">
        <v>737</v>
      </c>
      <c r="C966" s="21" t="s">
        <v>738</v>
      </c>
      <c r="D966" s="7">
        <v>295</v>
      </c>
      <c r="E966" s="7">
        <v>620</v>
      </c>
    </row>
    <row r="967" spans="1:5">
      <c r="A967" s="1" t="s">
        <v>711</v>
      </c>
      <c r="B967" s="77"/>
      <c r="C967" s="21" t="s">
        <v>739</v>
      </c>
      <c r="D967" s="7">
        <v>113</v>
      </c>
      <c r="E967" s="7">
        <v>140</v>
      </c>
    </row>
    <row r="968" spans="1:5">
      <c r="A968" s="1" t="s">
        <v>711</v>
      </c>
      <c r="B968" s="77"/>
      <c r="C968" s="21" t="s">
        <v>740</v>
      </c>
      <c r="D968" s="7">
        <v>110</v>
      </c>
      <c r="E968" s="7">
        <v>300</v>
      </c>
    </row>
    <row r="969" spans="1:5">
      <c r="A969" s="1" t="s">
        <v>711</v>
      </c>
      <c r="B969" s="77"/>
      <c r="C969" s="21" t="s">
        <v>741</v>
      </c>
      <c r="D969" s="7">
        <v>49</v>
      </c>
      <c r="E969" s="7">
        <v>70</v>
      </c>
    </row>
    <row r="970" spans="1:5">
      <c r="A970" s="1" t="s">
        <v>711</v>
      </c>
      <c r="B970" s="77"/>
      <c r="C970" s="21" t="s">
        <v>742</v>
      </c>
      <c r="D970" s="7">
        <v>210</v>
      </c>
      <c r="E970" s="7">
        <v>300</v>
      </c>
    </row>
    <row r="971" spans="1:5">
      <c r="A971" s="1" t="s">
        <v>711</v>
      </c>
      <c r="B971" s="77" t="s">
        <v>743</v>
      </c>
      <c r="C971" s="21" t="s">
        <v>743</v>
      </c>
      <c r="D971" s="7">
        <v>270</v>
      </c>
      <c r="E971" s="7">
        <v>250</v>
      </c>
    </row>
    <row r="972" spans="1:5">
      <c r="A972" s="1" t="s">
        <v>711</v>
      </c>
      <c r="B972" s="77"/>
      <c r="C972" s="21" t="s">
        <v>744</v>
      </c>
      <c r="D972" s="7">
        <v>65</v>
      </c>
      <c r="E972" s="7">
        <v>16</v>
      </c>
    </row>
    <row r="973" spans="1:5">
      <c r="A973" s="1" t="s">
        <v>711</v>
      </c>
      <c r="B973" s="77"/>
      <c r="C973" s="21" t="s">
        <v>745</v>
      </c>
      <c r="D973" s="7">
        <v>168</v>
      </c>
      <c r="E973" s="7">
        <v>36</v>
      </c>
    </row>
    <row r="974" spans="1:5">
      <c r="A974" s="1" t="s">
        <v>711</v>
      </c>
      <c r="B974" s="77"/>
      <c r="C974" s="21" t="s">
        <v>746</v>
      </c>
      <c r="D974" s="7">
        <v>109</v>
      </c>
      <c r="E974" s="7">
        <v>30</v>
      </c>
    </row>
    <row r="975" spans="1:5">
      <c r="A975" s="1" t="s">
        <v>711</v>
      </c>
      <c r="B975" s="77"/>
      <c r="C975" s="21" t="s">
        <v>747</v>
      </c>
      <c r="D975" s="7">
        <v>270</v>
      </c>
      <c r="E975" s="7">
        <v>500</v>
      </c>
    </row>
    <row r="976" spans="1:5">
      <c r="A976" s="1" t="s">
        <v>711</v>
      </c>
      <c r="B976" s="77" t="s">
        <v>748</v>
      </c>
      <c r="C976" s="21" t="s">
        <v>749</v>
      </c>
      <c r="D976" s="7">
        <v>132</v>
      </c>
      <c r="E976" s="7">
        <v>56</v>
      </c>
    </row>
    <row r="977" spans="1:5">
      <c r="A977" s="1" t="s">
        <v>711</v>
      </c>
      <c r="B977" s="77"/>
      <c r="C977" s="21" t="s">
        <v>750</v>
      </c>
      <c r="D977" s="7">
        <v>57</v>
      </c>
      <c r="E977" s="7">
        <v>96</v>
      </c>
    </row>
    <row r="978" spans="1:5">
      <c r="A978" s="1" t="s">
        <v>711</v>
      </c>
      <c r="B978" s="77"/>
      <c r="C978" s="21" t="s">
        <v>751</v>
      </c>
      <c r="D978" s="7">
        <v>115</v>
      </c>
      <c r="E978" s="7">
        <v>139</v>
      </c>
    </row>
    <row r="979" spans="1:5">
      <c r="A979" s="1" t="s">
        <v>711</v>
      </c>
      <c r="B979" s="77"/>
      <c r="C979" s="21" t="s">
        <v>752</v>
      </c>
      <c r="D979" s="7">
        <v>92</v>
      </c>
      <c r="E979" s="7">
        <v>50</v>
      </c>
    </row>
    <row r="980" spans="1:5">
      <c r="A980" s="1" t="s">
        <v>711</v>
      </c>
      <c r="B980" s="77"/>
      <c r="C980" s="21" t="s">
        <v>753</v>
      </c>
      <c r="D980" s="7">
        <v>65</v>
      </c>
      <c r="E980" s="7">
        <v>76</v>
      </c>
    </row>
    <row r="981" spans="1:5">
      <c r="A981" s="1" t="s">
        <v>711</v>
      </c>
      <c r="B981" s="77"/>
      <c r="C981" s="21" t="s">
        <v>754</v>
      </c>
      <c r="D981" s="7">
        <v>101</v>
      </c>
      <c r="E981" s="7">
        <v>54</v>
      </c>
    </row>
    <row r="982" spans="1:5">
      <c r="A982" s="1" t="s">
        <v>711</v>
      </c>
      <c r="B982" s="77"/>
      <c r="C982" s="21" t="s">
        <v>755</v>
      </c>
      <c r="D982" s="7">
        <v>103</v>
      </c>
      <c r="E982" s="7">
        <v>31</v>
      </c>
    </row>
    <row r="983" spans="1:5">
      <c r="A983" s="1" t="s">
        <v>711</v>
      </c>
      <c r="B983" s="77"/>
      <c r="C983" s="21" t="s">
        <v>756</v>
      </c>
      <c r="D983" s="7">
        <v>135</v>
      </c>
      <c r="E983" s="7">
        <v>90</v>
      </c>
    </row>
    <row r="984" spans="1:5">
      <c r="A984" s="1" t="s">
        <v>711</v>
      </c>
      <c r="B984" s="77"/>
      <c r="C984" s="21" t="s">
        <v>757</v>
      </c>
      <c r="D984" s="7">
        <v>93</v>
      </c>
      <c r="E984" s="7">
        <v>33</v>
      </c>
    </row>
    <row r="985" spans="1:5">
      <c r="A985" s="1" t="s">
        <v>711</v>
      </c>
      <c r="B985" s="77"/>
      <c r="C985" s="21" t="s">
        <v>758</v>
      </c>
      <c r="D985" s="7">
        <v>76</v>
      </c>
      <c r="E985" s="7">
        <v>31</v>
      </c>
    </row>
    <row r="986" spans="1:5">
      <c r="A986" s="1" t="s">
        <v>711</v>
      </c>
      <c r="B986" s="77"/>
      <c r="C986" s="21" t="s">
        <v>759</v>
      </c>
      <c r="D986" s="7">
        <v>73</v>
      </c>
      <c r="E986" s="7">
        <v>27</v>
      </c>
    </row>
    <row r="987" spans="1:5">
      <c r="A987" s="1" t="s">
        <v>711</v>
      </c>
      <c r="B987" s="77" t="s">
        <v>760</v>
      </c>
      <c r="C987" s="21" t="s">
        <v>761</v>
      </c>
      <c r="D987" s="7">
        <v>70</v>
      </c>
      <c r="E987" s="7">
        <v>120</v>
      </c>
    </row>
    <row r="988" spans="1:5">
      <c r="A988" s="1" t="s">
        <v>711</v>
      </c>
      <c r="B988" s="77"/>
      <c r="C988" s="21" t="s">
        <v>762</v>
      </c>
      <c r="D988" s="7">
        <v>505</v>
      </c>
      <c r="E988" s="7">
        <v>1200</v>
      </c>
    </row>
    <row r="989" spans="1:5">
      <c r="A989" s="1" t="s">
        <v>711</v>
      </c>
      <c r="B989" s="77"/>
      <c r="C989" s="21" t="s">
        <v>763</v>
      </c>
      <c r="D989" s="7">
        <v>224</v>
      </c>
      <c r="E989" s="7">
        <v>600</v>
      </c>
    </row>
    <row r="990" spans="1:5">
      <c r="A990" s="1" t="s">
        <v>711</v>
      </c>
      <c r="B990" s="77"/>
      <c r="C990" s="21" t="s">
        <v>764</v>
      </c>
      <c r="D990" s="7">
        <v>194</v>
      </c>
      <c r="E990" s="7">
        <v>570</v>
      </c>
    </row>
    <row r="991" spans="1:5">
      <c r="A991" s="1" t="s">
        <v>711</v>
      </c>
      <c r="B991" s="77"/>
      <c r="C991" s="21" t="s">
        <v>765</v>
      </c>
      <c r="D991" s="7">
        <v>90</v>
      </c>
      <c r="E991" s="7">
        <v>52</v>
      </c>
    </row>
    <row r="992" spans="1:5">
      <c r="A992" s="1" t="s">
        <v>711</v>
      </c>
      <c r="B992" s="77"/>
      <c r="C992" s="21" t="s">
        <v>766</v>
      </c>
      <c r="D992" s="7">
        <v>78</v>
      </c>
      <c r="E992" s="7">
        <v>12</v>
      </c>
    </row>
    <row r="993" spans="1:5">
      <c r="A993" s="1" t="s">
        <v>711</v>
      </c>
      <c r="B993" s="77"/>
      <c r="C993" s="21" t="s">
        <v>767</v>
      </c>
      <c r="D993" s="7">
        <v>202</v>
      </c>
      <c r="E993" s="7">
        <v>60</v>
      </c>
    </row>
    <row r="994" spans="1:5">
      <c r="A994" s="1" t="s">
        <v>711</v>
      </c>
      <c r="B994" s="77"/>
      <c r="C994" s="21" t="s">
        <v>768</v>
      </c>
      <c r="D994" s="7">
        <v>75</v>
      </c>
      <c r="E994" s="7">
        <v>320</v>
      </c>
    </row>
    <row r="995" spans="1:5">
      <c r="A995" s="1" t="s">
        <v>711</v>
      </c>
      <c r="B995" s="77"/>
      <c r="C995" s="21" t="s">
        <v>769</v>
      </c>
      <c r="D995" s="7">
        <v>119</v>
      </c>
      <c r="E995" s="7">
        <v>200</v>
      </c>
    </row>
    <row r="996" spans="1:5">
      <c r="A996" s="1" t="s">
        <v>711</v>
      </c>
      <c r="B996" s="77"/>
      <c r="C996" s="21" t="s">
        <v>770</v>
      </c>
      <c r="D996" s="7">
        <v>59</v>
      </c>
      <c r="E996" s="7">
        <v>83</v>
      </c>
    </row>
    <row r="997" spans="1:5">
      <c r="A997" s="1" t="s">
        <v>711</v>
      </c>
      <c r="B997" s="77"/>
      <c r="C997" s="21" t="s">
        <v>771</v>
      </c>
      <c r="D997" s="7">
        <v>30</v>
      </c>
      <c r="E997" s="7">
        <v>20</v>
      </c>
    </row>
    <row r="998" spans="1:5">
      <c r="A998" s="1" t="s">
        <v>711</v>
      </c>
      <c r="B998" s="77"/>
      <c r="C998" s="21" t="s">
        <v>772</v>
      </c>
      <c r="D998" s="7">
        <v>220</v>
      </c>
      <c r="E998" s="7">
        <v>470</v>
      </c>
    </row>
    <row r="999" spans="1:5">
      <c r="A999" s="1" t="s">
        <v>711</v>
      </c>
      <c r="B999" s="77"/>
      <c r="C999" s="21" t="s">
        <v>773</v>
      </c>
      <c r="D999" s="7">
        <v>101</v>
      </c>
      <c r="E999" s="7">
        <v>80</v>
      </c>
    </row>
    <row r="1000" spans="1:5">
      <c r="A1000" s="1" t="s">
        <v>711</v>
      </c>
      <c r="B1000" s="77"/>
      <c r="C1000" s="21" t="s">
        <v>774</v>
      </c>
      <c r="D1000" s="7">
        <v>80</v>
      </c>
      <c r="E1000" s="7">
        <v>120</v>
      </c>
    </row>
    <row r="1001" spans="1:5">
      <c r="A1001" s="1" t="s">
        <v>711</v>
      </c>
      <c r="B1001" s="77"/>
      <c r="C1001" s="21" t="s">
        <v>775</v>
      </c>
      <c r="D1001" s="7">
        <v>53</v>
      </c>
      <c r="E1001" s="7">
        <v>50</v>
      </c>
    </row>
    <row r="1002" spans="1:5">
      <c r="A1002" s="1" t="s">
        <v>711</v>
      </c>
      <c r="B1002" s="77"/>
      <c r="C1002" s="21" t="s">
        <v>776</v>
      </c>
      <c r="D1002" s="7">
        <v>86</v>
      </c>
      <c r="E1002" s="7">
        <v>83</v>
      </c>
    </row>
    <row r="1003" spans="1:5">
      <c r="A1003" s="1" t="s">
        <v>711</v>
      </c>
      <c r="B1003" s="77"/>
      <c r="C1003" s="21" t="s">
        <v>777</v>
      </c>
      <c r="D1003" s="7">
        <v>153</v>
      </c>
      <c r="E1003" s="7">
        <v>100</v>
      </c>
    </row>
    <row r="1004" spans="1:5">
      <c r="A1004" s="1" t="s">
        <v>711</v>
      </c>
      <c r="B1004" s="77"/>
      <c r="C1004" s="21" t="s">
        <v>778</v>
      </c>
      <c r="D1004" s="7">
        <v>136</v>
      </c>
      <c r="E1004" s="7">
        <v>83</v>
      </c>
    </row>
    <row r="1005" spans="1:5">
      <c r="A1005" s="1" t="s">
        <v>711</v>
      </c>
      <c r="B1005" s="77"/>
      <c r="C1005" s="21" t="s">
        <v>779</v>
      </c>
      <c r="D1005" s="7">
        <v>85</v>
      </c>
      <c r="E1005" s="7">
        <v>83</v>
      </c>
    </row>
    <row r="1006" spans="1:5">
      <c r="A1006" s="1" t="s">
        <v>711</v>
      </c>
      <c r="B1006" s="77"/>
      <c r="C1006" s="21" t="s">
        <v>780</v>
      </c>
      <c r="D1006" s="7">
        <v>247</v>
      </c>
      <c r="E1006" s="7">
        <v>35</v>
      </c>
    </row>
    <row r="1007" spans="1:5">
      <c r="A1007" s="1" t="s">
        <v>711</v>
      </c>
      <c r="B1007" s="77"/>
      <c r="C1007" s="21" t="s">
        <v>781</v>
      </c>
      <c r="D1007" s="7">
        <v>52</v>
      </c>
      <c r="E1007" s="7">
        <v>72</v>
      </c>
    </row>
    <row r="1008" spans="1:5">
      <c r="A1008" s="1" t="s">
        <v>711</v>
      </c>
      <c r="B1008" s="77"/>
      <c r="C1008" s="21" t="s">
        <v>782</v>
      </c>
      <c r="D1008" s="7">
        <v>135</v>
      </c>
      <c r="E1008" s="7">
        <v>65</v>
      </c>
    </row>
    <row r="1009" spans="1:5">
      <c r="A1009" s="1" t="s">
        <v>711</v>
      </c>
      <c r="B1009" s="77"/>
      <c r="C1009" s="21" t="s">
        <v>783</v>
      </c>
      <c r="D1009" s="7">
        <v>53</v>
      </c>
      <c r="E1009" s="7">
        <v>12</v>
      </c>
    </row>
    <row r="1010" spans="1:5">
      <c r="A1010" s="1" t="s">
        <v>711</v>
      </c>
      <c r="B1010" s="77"/>
      <c r="C1010" s="21" t="s">
        <v>784</v>
      </c>
      <c r="D1010" s="7">
        <v>137</v>
      </c>
      <c r="E1010" s="7">
        <v>200</v>
      </c>
    </row>
    <row r="1011" spans="1:5">
      <c r="A1011" s="1" t="s">
        <v>711</v>
      </c>
      <c r="B1011" s="77" t="s">
        <v>785</v>
      </c>
      <c r="C1011" s="21" t="s">
        <v>786</v>
      </c>
      <c r="D1011" s="7">
        <v>180</v>
      </c>
      <c r="E1011" s="7">
        <v>114</v>
      </c>
    </row>
    <row r="1012" spans="1:5">
      <c r="A1012" s="1" t="s">
        <v>711</v>
      </c>
      <c r="B1012" s="77"/>
      <c r="C1012" s="21" t="s">
        <v>787</v>
      </c>
      <c r="D1012" s="7">
        <v>195</v>
      </c>
      <c r="E1012" s="7">
        <v>257</v>
      </c>
    </row>
    <row r="1013" spans="1:5">
      <c r="A1013" s="1" t="s">
        <v>711</v>
      </c>
      <c r="B1013" s="77"/>
      <c r="C1013" s="21" t="s">
        <v>788</v>
      </c>
      <c r="D1013" s="7">
        <v>50</v>
      </c>
      <c r="E1013" s="7">
        <v>100</v>
      </c>
    </row>
    <row r="1014" spans="1:5">
      <c r="A1014" s="1" t="s">
        <v>711</v>
      </c>
      <c r="B1014" s="77"/>
      <c r="C1014" s="21" t="s">
        <v>789</v>
      </c>
      <c r="D1014" s="7">
        <v>86</v>
      </c>
      <c r="E1014" s="7">
        <v>65</v>
      </c>
    </row>
    <row r="1015" spans="1:5">
      <c r="A1015" s="1" t="s">
        <v>711</v>
      </c>
      <c r="B1015" s="77"/>
      <c r="C1015" s="21" t="s">
        <v>790</v>
      </c>
      <c r="D1015" s="7">
        <v>113</v>
      </c>
      <c r="E1015" s="7">
        <v>17</v>
      </c>
    </row>
    <row r="1016" spans="1:5">
      <c r="A1016" s="1" t="s">
        <v>711</v>
      </c>
      <c r="B1016" s="77"/>
      <c r="C1016" s="21" t="s">
        <v>791</v>
      </c>
      <c r="D1016" s="7">
        <v>138</v>
      </c>
      <c r="E1016" s="7">
        <v>70</v>
      </c>
    </row>
    <row r="1017" spans="1:5">
      <c r="A1017" s="1" t="s">
        <v>711</v>
      </c>
      <c r="B1017" s="77"/>
      <c r="C1017" s="21" t="s">
        <v>792</v>
      </c>
      <c r="D1017" s="7">
        <v>144</v>
      </c>
      <c r="E1017" s="7">
        <v>120</v>
      </c>
    </row>
    <row r="1018" spans="1:5">
      <c r="A1018" s="1" t="s">
        <v>711</v>
      </c>
      <c r="B1018" s="77"/>
      <c r="C1018" s="21" t="s">
        <v>793</v>
      </c>
      <c r="D1018" s="7">
        <v>128</v>
      </c>
      <c r="E1018" s="7">
        <v>290</v>
      </c>
    </row>
    <row r="1019" spans="1:5">
      <c r="A1019" s="1" t="s">
        <v>711</v>
      </c>
      <c r="B1019" s="77"/>
      <c r="C1019" s="21" t="s">
        <v>794</v>
      </c>
      <c r="D1019" s="7">
        <v>122</v>
      </c>
      <c r="E1019" s="7">
        <v>129</v>
      </c>
    </row>
    <row r="1020" spans="1:5">
      <c r="A1020" s="1" t="s">
        <v>711</v>
      </c>
      <c r="B1020" s="77"/>
      <c r="C1020" s="21" t="s">
        <v>795</v>
      </c>
      <c r="D1020" s="7">
        <v>176</v>
      </c>
      <c r="E1020" s="7">
        <v>336</v>
      </c>
    </row>
    <row r="1021" spans="1:5">
      <c r="A1021" s="1" t="s">
        <v>711</v>
      </c>
      <c r="B1021" s="77"/>
      <c r="C1021" s="21" t="s">
        <v>796</v>
      </c>
      <c r="D1021" s="7">
        <v>37</v>
      </c>
      <c r="E1021" s="7">
        <v>80</v>
      </c>
    </row>
    <row r="1022" spans="1:5">
      <c r="A1022" s="1" t="s">
        <v>711</v>
      </c>
      <c r="B1022" s="77"/>
      <c r="C1022" s="21" t="s">
        <v>797</v>
      </c>
      <c r="D1022" s="7">
        <v>120</v>
      </c>
      <c r="E1022" s="7">
        <v>310</v>
      </c>
    </row>
    <row r="1023" spans="1:5">
      <c r="A1023" s="1" t="s">
        <v>711</v>
      </c>
      <c r="B1023" s="77"/>
      <c r="C1023" s="21" t="s">
        <v>798</v>
      </c>
      <c r="D1023" s="7">
        <v>195</v>
      </c>
      <c r="E1023" s="7">
        <v>370</v>
      </c>
    </row>
    <row r="1024" spans="1:5">
      <c r="A1024" s="1" t="s">
        <v>711</v>
      </c>
      <c r="B1024" s="77"/>
      <c r="C1024" s="21" t="s">
        <v>799</v>
      </c>
      <c r="D1024" s="7">
        <v>48</v>
      </c>
      <c r="E1024" s="7">
        <v>83</v>
      </c>
    </row>
    <row r="1025" spans="1:5">
      <c r="A1025" s="1" t="s">
        <v>711</v>
      </c>
      <c r="B1025" s="77"/>
      <c r="C1025" s="21" t="s">
        <v>800</v>
      </c>
      <c r="D1025" s="7">
        <v>123</v>
      </c>
      <c r="E1025" s="7">
        <v>135</v>
      </c>
    </row>
    <row r="1026" spans="1:5">
      <c r="A1026" s="1" t="s">
        <v>711</v>
      </c>
      <c r="B1026" s="77"/>
      <c r="C1026" s="21" t="s">
        <v>801</v>
      </c>
      <c r="D1026" s="7">
        <v>88</v>
      </c>
      <c r="E1026" s="7">
        <v>55</v>
      </c>
    </row>
    <row r="1027" spans="1:5">
      <c r="A1027" s="1" t="s">
        <v>711</v>
      </c>
      <c r="B1027" s="77"/>
      <c r="C1027" s="21" t="s">
        <v>802</v>
      </c>
      <c r="D1027" s="7">
        <v>225</v>
      </c>
      <c r="E1027" s="7">
        <v>285</v>
      </c>
    </row>
    <row r="1028" spans="1:5">
      <c r="A1028" s="1" t="s">
        <v>711</v>
      </c>
      <c r="B1028" s="77"/>
      <c r="C1028" s="21" t="s">
        <v>803</v>
      </c>
      <c r="D1028" s="7">
        <v>38</v>
      </c>
      <c r="E1028" s="7">
        <v>48</v>
      </c>
    </row>
    <row r="1029" spans="1:5">
      <c r="A1029" s="1" t="s">
        <v>711</v>
      </c>
      <c r="B1029" s="77"/>
      <c r="C1029" s="21" t="s">
        <v>573</v>
      </c>
      <c r="D1029" s="7">
        <v>110</v>
      </c>
      <c r="E1029" s="7">
        <v>100</v>
      </c>
    </row>
    <row r="1030" spans="1:5">
      <c r="A1030" s="1" t="s">
        <v>711</v>
      </c>
      <c r="B1030" s="77"/>
      <c r="C1030" s="21" t="s">
        <v>804</v>
      </c>
      <c r="D1030" s="7">
        <v>79</v>
      </c>
      <c r="E1030" s="7">
        <v>335</v>
      </c>
    </row>
    <row r="1031" spans="1:5">
      <c r="A1031" s="1" t="s">
        <v>711</v>
      </c>
      <c r="B1031" s="77"/>
      <c r="C1031" s="21" t="s">
        <v>805</v>
      </c>
      <c r="D1031" s="7">
        <v>198</v>
      </c>
      <c r="E1031" s="7">
        <v>408</v>
      </c>
    </row>
    <row r="1032" spans="1:5">
      <c r="A1032" s="1" t="s">
        <v>711</v>
      </c>
      <c r="B1032" s="77"/>
      <c r="C1032" s="21" t="s">
        <v>806</v>
      </c>
      <c r="D1032" s="7">
        <v>167</v>
      </c>
      <c r="E1032" s="7">
        <v>156</v>
      </c>
    </row>
    <row r="1033" spans="1:5">
      <c r="A1033" s="1" t="s">
        <v>711</v>
      </c>
      <c r="B1033" s="77"/>
      <c r="C1033" s="21" t="s">
        <v>807</v>
      </c>
      <c r="D1033" s="7">
        <v>70</v>
      </c>
      <c r="E1033" s="7">
        <v>65</v>
      </c>
    </row>
    <row r="1034" spans="1:5">
      <c r="A1034" s="1" t="s">
        <v>711</v>
      </c>
      <c r="B1034" s="77"/>
      <c r="C1034" s="21" t="s">
        <v>808</v>
      </c>
      <c r="D1034" s="7">
        <v>70</v>
      </c>
      <c r="E1034" s="7">
        <v>75</v>
      </c>
    </row>
    <row r="1035" spans="1:5">
      <c r="A1035" s="1" t="s">
        <v>711</v>
      </c>
      <c r="B1035" s="77"/>
      <c r="C1035" s="21" t="s">
        <v>809</v>
      </c>
      <c r="D1035" s="7">
        <v>134</v>
      </c>
      <c r="E1035" s="7">
        <v>51</v>
      </c>
    </row>
    <row r="1036" spans="1:5">
      <c r="A1036" s="1" t="s">
        <v>711</v>
      </c>
      <c r="B1036" s="77"/>
      <c r="C1036" s="21" t="s">
        <v>810</v>
      </c>
      <c r="D1036" s="7">
        <v>120</v>
      </c>
      <c r="E1036" s="7">
        <v>93</v>
      </c>
    </row>
    <row r="1037" spans="1:5">
      <c r="A1037" s="1" t="s">
        <v>711</v>
      </c>
      <c r="B1037" s="77"/>
      <c r="C1037" s="21" t="s">
        <v>811</v>
      </c>
      <c r="D1037" s="7">
        <v>110</v>
      </c>
      <c r="E1037" s="7">
        <v>95</v>
      </c>
    </row>
    <row r="1038" spans="1:5">
      <c r="A1038" s="1" t="s">
        <v>711</v>
      </c>
      <c r="B1038" s="77"/>
      <c r="C1038" s="21" t="s">
        <v>812</v>
      </c>
      <c r="D1038" s="7">
        <v>110</v>
      </c>
      <c r="E1038" s="7">
        <v>90</v>
      </c>
    </row>
    <row r="1039" spans="1:5">
      <c r="A1039" s="1" t="s">
        <v>711</v>
      </c>
      <c r="B1039" s="77"/>
      <c r="C1039" s="21" t="s">
        <v>813</v>
      </c>
      <c r="D1039" s="7">
        <v>87</v>
      </c>
      <c r="E1039" s="7">
        <v>92</v>
      </c>
    </row>
    <row r="1040" spans="1:5">
      <c r="A1040" s="1" t="s">
        <v>711</v>
      </c>
      <c r="B1040" s="77"/>
      <c r="C1040" s="21" t="s">
        <v>814</v>
      </c>
      <c r="D1040" s="7">
        <v>67</v>
      </c>
      <c r="E1040" s="7">
        <v>95</v>
      </c>
    </row>
    <row r="1041" spans="1:5">
      <c r="A1041" s="1" t="s">
        <v>711</v>
      </c>
      <c r="B1041" s="76" t="s">
        <v>815</v>
      </c>
      <c r="C1041" s="21" t="s">
        <v>816</v>
      </c>
      <c r="D1041" s="7">
        <v>56</v>
      </c>
      <c r="E1041" s="7">
        <v>28</v>
      </c>
    </row>
    <row r="1042" spans="1:5">
      <c r="A1042" s="1" t="s">
        <v>711</v>
      </c>
      <c r="B1042" s="76" t="s">
        <v>815</v>
      </c>
      <c r="C1042" s="21" t="s">
        <v>817</v>
      </c>
      <c r="D1042" s="7">
        <v>54</v>
      </c>
      <c r="E1042" s="7">
        <v>54</v>
      </c>
    </row>
    <row r="1043" spans="1:5">
      <c r="A1043" s="1" t="s">
        <v>711</v>
      </c>
      <c r="B1043" s="76" t="s">
        <v>815</v>
      </c>
      <c r="C1043" s="21" t="s">
        <v>818</v>
      </c>
      <c r="D1043" s="7">
        <v>12</v>
      </c>
      <c r="E1043" s="7">
        <v>12</v>
      </c>
    </row>
    <row r="1044" spans="1:5">
      <c r="A1044" s="39" t="s">
        <v>577</v>
      </c>
      <c r="B1044" s="39" t="s">
        <v>1258</v>
      </c>
      <c r="C1044" s="39" t="s">
        <v>578</v>
      </c>
      <c r="D1044" s="6">
        <v>300</v>
      </c>
      <c r="E1044" s="6">
        <v>194</v>
      </c>
    </row>
    <row r="1045" spans="1:5">
      <c r="A1045" s="39" t="s">
        <v>577</v>
      </c>
      <c r="B1045" s="39" t="s">
        <v>1258</v>
      </c>
      <c r="C1045" s="39" t="s">
        <v>579</v>
      </c>
      <c r="D1045" s="6">
        <v>538</v>
      </c>
      <c r="E1045" s="6">
        <v>233</v>
      </c>
    </row>
    <row r="1046" spans="1:5">
      <c r="A1046" s="39" t="s">
        <v>577</v>
      </c>
      <c r="B1046" s="39" t="s">
        <v>1258</v>
      </c>
      <c r="C1046" s="39" t="s">
        <v>580</v>
      </c>
      <c r="D1046" s="6">
        <v>324</v>
      </c>
      <c r="E1046" s="6">
        <v>121</v>
      </c>
    </row>
    <row r="1047" spans="1:5">
      <c r="A1047" s="39" t="s">
        <v>577</v>
      </c>
      <c r="B1047" s="39" t="s">
        <v>1258</v>
      </c>
      <c r="C1047" s="39" t="s">
        <v>581</v>
      </c>
      <c r="D1047" s="6">
        <v>162</v>
      </c>
      <c r="E1047" s="6">
        <v>78</v>
      </c>
    </row>
    <row r="1048" spans="1:5">
      <c r="A1048" s="39" t="s">
        <v>577</v>
      </c>
      <c r="B1048" s="39" t="s">
        <v>1258</v>
      </c>
      <c r="C1048" s="53" t="s">
        <v>582</v>
      </c>
      <c r="D1048" s="6">
        <v>300</v>
      </c>
      <c r="E1048" s="6">
        <v>137</v>
      </c>
    </row>
    <row r="1049" spans="1:5">
      <c r="A1049" s="39" t="s">
        <v>577</v>
      </c>
      <c r="B1049" s="39" t="s">
        <v>1258</v>
      </c>
      <c r="C1049" s="53" t="s">
        <v>583</v>
      </c>
      <c r="D1049" s="6">
        <v>70</v>
      </c>
      <c r="E1049" s="6">
        <v>38</v>
      </c>
    </row>
    <row r="1050" spans="1:5">
      <c r="A1050" s="39" t="s">
        <v>577</v>
      </c>
      <c r="B1050" s="39" t="s">
        <v>1258</v>
      </c>
      <c r="C1050" s="39" t="s">
        <v>590</v>
      </c>
      <c r="D1050" s="6">
        <v>130</v>
      </c>
      <c r="E1050" s="6">
        <v>43</v>
      </c>
    </row>
    <row r="1051" spans="1:5">
      <c r="A1051" s="39" t="s">
        <v>577</v>
      </c>
      <c r="B1051" s="39" t="s">
        <v>1258</v>
      </c>
      <c r="C1051" s="39" t="s">
        <v>3</v>
      </c>
      <c r="D1051" s="6">
        <v>130</v>
      </c>
      <c r="E1051" s="6">
        <v>49</v>
      </c>
    </row>
    <row r="1052" spans="1:5">
      <c r="A1052" s="39" t="s">
        <v>577</v>
      </c>
      <c r="B1052" s="39" t="s">
        <v>1258</v>
      </c>
      <c r="C1052" s="39" t="s">
        <v>591</v>
      </c>
      <c r="D1052" s="10">
        <v>96</v>
      </c>
      <c r="E1052" s="10">
        <v>73</v>
      </c>
    </row>
    <row r="1053" spans="1:5">
      <c r="A1053" s="39" t="s">
        <v>577</v>
      </c>
      <c r="B1053" s="39" t="s">
        <v>1258</v>
      </c>
      <c r="C1053" s="39" t="s">
        <v>592</v>
      </c>
      <c r="D1053" s="6">
        <v>86</v>
      </c>
      <c r="E1053" s="6">
        <v>32</v>
      </c>
    </row>
    <row r="1054" spans="1:5">
      <c r="A1054" s="39" t="s">
        <v>577</v>
      </c>
      <c r="B1054" s="39" t="s">
        <v>1258</v>
      </c>
      <c r="C1054" s="39" t="s">
        <v>593</v>
      </c>
      <c r="D1054" s="6">
        <v>84</v>
      </c>
      <c r="E1054" s="6">
        <v>41</v>
      </c>
    </row>
    <row r="1055" spans="1:5">
      <c r="A1055" s="39" t="s">
        <v>577</v>
      </c>
      <c r="B1055" s="39" t="s">
        <v>1258</v>
      </c>
      <c r="C1055" s="39" t="s">
        <v>594</v>
      </c>
      <c r="D1055" s="6">
        <v>66</v>
      </c>
      <c r="E1055" s="6">
        <v>55</v>
      </c>
    </row>
    <row r="1056" spans="1:5">
      <c r="A1056" s="39" t="s">
        <v>577</v>
      </c>
      <c r="B1056" s="39" t="s">
        <v>1258</v>
      </c>
      <c r="C1056" s="39" t="s">
        <v>5</v>
      </c>
      <c r="D1056" s="6">
        <v>94</v>
      </c>
      <c r="E1056" s="6">
        <v>14</v>
      </c>
    </row>
    <row r="1057" spans="1:5">
      <c r="A1057" s="39" t="s">
        <v>577</v>
      </c>
      <c r="B1057" s="39" t="s">
        <v>1258</v>
      </c>
      <c r="C1057" s="39" t="s">
        <v>595</v>
      </c>
      <c r="D1057" s="10">
        <v>71</v>
      </c>
      <c r="E1057" s="10">
        <v>39</v>
      </c>
    </row>
    <row r="1058" spans="1:5">
      <c r="A1058" s="39" t="s">
        <v>577</v>
      </c>
      <c r="B1058" s="39" t="s">
        <v>1258</v>
      </c>
      <c r="C1058" s="39" t="s">
        <v>596</v>
      </c>
      <c r="D1058" s="6">
        <v>90</v>
      </c>
      <c r="E1058" s="6">
        <v>103</v>
      </c>
    </row>
    <row r="1059" spans="1:5">
      <c r="A1059" s="39" t="s">
        <v>577</v>
      </c>
      <c r="B1059" s="39" t="s">
        <v>1259</v>
      </c>
      <c r="C1059" s="39" t="s">
        <v>597</v>
      </c>
      <c r="D1059" s="6">
        <v>240</v>
      </c>
      <c r="E1059" s="6">
        <v>87</v>
      </c>
    </row>
    <row r="1060" spans="1:5">
      <c r="A1060" s="39" t="s">
        <v>577</v>
      </c>
      <c r="B1060" s="39" t="s">
        <v>1259</v>
      </c>
      <c r="C1060" s="39" t="s">
        <v>598</v>
      </c>
      <c r="D1060" s="6">
        <v>144</v>
      </c>
      <c r="E1060" s="6">
        <v>45</v>
      </c>
    </row>
    <row r="1061" spans="1:5">
      <c r="A1061" s="39" t="s">
        <v>577</v>
      </c>
      <c r="B1061" s="39" t="s">
        <v>1259</v>
      </c>
      <c r="C1061" s="39" t="s">
        <v>599</v>
      </c>
      <c r="D1061" s="6">
        <v>42</v>
      </c>
      <c r="E1061" s="6">
        <v>60</v>
      </c>
    </row>
    <row r="1062" spans="1:5">
      <c r="A1062" s="39" t="s">
        <v>577</v>
      </c>
      <c r="B1062" s="39" t="s">
        <v>1259</v>
      </c>
      <c r="C1062" s="39" t="s">
        <v>600</v>
      </c>
      <c r="D1062" s="6">
        <v>101</v>
      </c>
      <c r="E1062" s="6">
        <v>112</v>
      </c>
    </row>
    <row r="1063" spans="1:5">
      <c r="A1063" s="39" t="s">
        <v>577</v>
      </c>
      <c r="B1063" s="39" t="s">
        <v>1259</v>
      </c>
      <c r="C1063" s="39" t="s">
        <v>601</v>
      </c>
      <c r="D1063" s="6">
        <v>31</v>
      </c>
      <c r="E1063" s="6">
        <v>32</v>
      </c>
    </row>
    <row r="1064" spans="1:5">
      <c r="A1064" s="39" t="s">
        <v>577</v>
      </c>
      <c r="B1064" s="39" t="s">
        <v>1259</v>
      </c>
      <c r="C1064" s="39" t="s">
        <v>602</v>
      </c>
      <c r="D1064" s="6">
        <v>100</v>
      </c>
      <c r="E1064" s="6">
        <v>25</v>
      </c>
    </row>
    <row r="1065" spans="1:5">
      <c r="A1065" s="39" t="s">
        <v>577</v>
      </c>
      <c r="B1065" s="39" t="s">
        <v>1259</v>
      </c>
      <c r="C1065" s="39" t="s">
        <v>603</v>
      </c>
      <c r="D1065" s="6">
        <v>76</v>
      </c>
      <c r="E1065" s="6">
        <v>63</v>
      </c>
    </row>
    <row r="1066" spans="1:5">
      <c r="A1066" s="39" t="s">
        <v>577</v>
      </c>
      <c r="B1066" s="39" t="s">
        <v>1259</v>
      </c>
      <c r="C1066" s="39" t="s">
        <v>604</v>
      </c>
      <c r="D1066" s="6">
        <v>40</v>
      </c>
      <c r="E1066" s="6">
        <v>40</v>
      </c>
    </row>
    <row r="1067" spans="1:5">
      <c r="A1067" s="39" t="s">
        <v>577</v>
      </c>
      <c r="B1067" s="39" t="s">
        <v>1259</v>
      </c>
      <c r="C1067" s="39" t="s">
        <v>605</v>
      </c>
      <c r="D1067" s="6">
        <v>40</v>
      </c>
      <c r="E1067" s="6">
        <v>40</v>
      </c>
    </row>
    <row r="1068" spans="1:5">
      <c r="A1068" s="39" t="s">
        <v>577</v>
      </c>
      <c r="B1068" s="39" t="s">
        <v>1260</v>
      </c>
      <c r="C1068" s="39" t="s">
        <v>606</v>
      </c>
      <c r="D1068" s="6">
        <v>65</v>
      </c>
      <c r="E1068" s="6">
        <v>31</v>
      </c>
    </row>
    <row r="1069" spans="1:5">
      <c r="A1069" s="39" t="s">
        <v>577</v>
      </c>
      <c r="B1069" s="39" t="s">
        <v>1260</v>
      </c>
      <c r="C1069" s="39" t="s">
        <v>1251</v>
      </c>
      <c r="D1069" s="6">
        <v>45</v>
      </c>
      <c r="E1069" s="6">
        <v>22</v>
      </c>
    </row>
    <row r="1070" spans="1:5">
      <c r="A1070" s="39" t="s">
        <v>577</v>
      </c>
      <c r="B1070" s="39" t="s">
        <v>1260</v>
      </c>
      <c r="C1070" s="39" t="s">
        <v>607</v>
      </c>
      <c r="D1070" s="6">
        <v>83</v>
      </c>
      <c r="E1070" s="6">
        <v>33</v>
      </c>
    </row>
    <row r="1071" spans="1:5">
      <c r="A1071" s="39" t="s">
        <v>577</v>
      </c>
      <c r="B1071" s="39" t="s">
        <v>1260</v>
      </c>
      <c r="C1071" s="39" t="s">
        <v>608</v>
      </c>
      <c r="D1071" s="6">
        <v>70</v>
      </c>
      <c r="E1071" s="6">
        <v>49</v>
      </c>
    </row>
    <row r="1072" spans="1:5">
      <c r="A1072" s="39" t="s">
        <v>577</v>
      </c>
      <c r="B1072" s="39" t="s">
        <v>1260</v>
      </c>
      <c r="C1072" s="39" t="s">
        <v>609</v>
      </c>
      <c r="D1072" s="6">
        <v>70</v>
      </c>
      <c r="E1072" s="6">
        <v>39</v>
      </c>
    </row>
    <row r="1073" spans="1:5">
      <c r="A1073" s="39" t="s">
        <v>577</v>
      </c>
      <c r="B1073" s="39" t="s">
        <v>1261</v>
      </c>
      <c r="C1073" s="39" t="s">
        <v>610</v>
      </c>
      <c r="D1073" s="6">
        <v>110</v>
      </c>
      <c r="E1073" s="6">
        <v>58</v>
      </c>
    </row>
    <row r="1074" spans="1:5">
      <c r="A1074" s="39" t="s">
        <v>577</v>
      </c>
      <c r="B1074" s="39" t="s">
        <v>1261</v>
      </c>
      <c r="C1074" s="39" t="s">
        <v>611</v>
      </c>
      <c r="D1074" s="6">
        <v>135</v>
      </c>
      <c r="E1074" s="6">
        <v>50</v>
      </c>
    </row>
    <row r="1075" spans="1:5">
      <c r="A1075" s="39" t="s">
        <v>577</v>
      </c>
      <c r="B1075" s="39" t="s">
        <v>1261</v>
      </c>
      <c r="C1075" s="39" t="s">
        <v>612</v>
      </c>
      <c r="D1075" s="6">
        <v>190</v>
      </c>
      <c r="E1075" s="6">
        <v>180</v>
      </c>
    </row>
    <row r="1076" spans="1:5">
      <c r="A1076" s="39" t="s">
        <v>577</v>
      </c>
      <c r="B1076" s="39" t="s">
        <v>1261</v>
      </c>
      <c r="C1076" s="39" t="s">
        <v>613</v>
      </c>
      <c r="D1076" s="6">
        <v>148</v>
      </c>
      <c r="E1076" s="6">
        <v>73</v>
      </c>
    </row>
    <row r="1077" spans="1:5">
      <c r="A1077" s="39" t="s">
        <v>577</v>
      </c>
      <c r="B1077" s="39" t="s">
        <v>1261</v>
      </c>
      <c r="C1077" s="39" t="s">
        <v>614</v>
      </c>
      <c r="D1077" s="6">
        <v>20</v>
      </c>
      <c r="E1077" s="6">
        <v>10</v>
      </c>
    </row>
    <row r="1078" spans="1:5">
      <c r="A1078" s="39" t="s">
        <v>577</v>
      </c>
      <c r="B1078" s="39" t="s">
        <v>1261</v>
      </c>
      <c r="C1078" s="39" t="s">
        <v>615</v>
      </c>
      <c r="D1078" s="6">
        <v>348</v>
      </c>
      <c r="E1078" s="6">
        <v>34</v>
      </c>
    </row>
    <row r="1079" spans="1:5">
      <c r="A1079" s="39" t="s">
        <v>577</v>
      </c>
      <c r="B1079" s="39" t="s">
        <v>1261</v>
      </c>
      <c r="C1079" s="39" t="s">
        <v>616</v>
      </c>
      <c r="D1079" s="6">
        <v>85</v>
      </c>
      <c r="E1079" s="6">
        <v>20</v>
      </c>
    </row>
    <row r="1080" spans="1:5">
      <c r="A1080" s="39" t="s">
        <v>577</v>
      </c>
      <c r="B1080" s="39" t="s">
        <v>1261</v>
      </c>
      <c r="C1080" s="39" t="s">
        <v>617</v>
      </c>
      <c r="D1080" s="6">
        <v>100</v>
      </c>
      <c r="E1080" s="6">
        <v>40</v>
      </c>
    </row>
    <row r="1081" spans="1:5">
      <c r="A1081" s="39" t="s">
        <v>577</v>
      </c>
      <c r="B1081" s="39" t="s">
        <v>1261</v>
      </c>
      <c r="C1081" s="53" t="s">
        <v>618</v>
      </c>
      <c r="D1081" s="6">
        <v>70</v>
      </c>
      <c r="E1081" s="6">
        <v>12</v>
      </c>
    </row>
    <row r="1082" spans="1:5">
      <c r="A1082" s="39" t="s">
        <v>577</v>
      </c>
      <c r="B1082" s="39" t="s">
        <v>1261</v>
      </c>
      <c r="C1082" s="39" t="s">
        <v>619</v>
      </c>
      <c r="D1082" s="6">
        <v>105</v>
      </c>
      <c r="E1082" s="6">
        <v>39</v>
      </c>
    </row>
    <row r="1083" spans="1:5">
      <c r="A1083" s="39" t="s">
        <v>577</v>
      </c>
      <c r="B1083" s="40" t="s">
        <v>1262</v>
      </c>
      <c r="C1083" s="39" t="s">
        <v>345</v>
      </c>
      <c r="D1083" s="10">
        <v>1680</v>
      </c>
      <c r="E1083" s="10">
        <v>135</v>
      </c>
    </row>
    <row r="1084" spans="1:5">
      <c r="A1084" s="39" t="s">
        <v>577</v>
      </c>
      <c r="B1084" s="40" t="s">
        <v>1262</v>
      </c>
      <c r="C1084" s="39" t="s">
        <v>584</v>
      </c>
      <c r="D1084" s="10">
        <v>1209</v>
      </c>
      <c r="E1084" s="10">
        <v>47</v>
      </c>
    </row>
    <row r="1085" spans="1:5">
      <c r="A1085" s="39" t="s">
        <v>577</v>
      </c>
      <c r="B1085" s="40" t="s">
        <v>1262</v>
      </c>
      <c r="C1085" s="39" t="s">
        <v>14</v>
      </c>
      <c r="D1085" s="10">
        <v>970</v>
      </c>
      <c r="E1085" s="10">
        <v>148</v>
      </c>
    </row>
    <row r="1086" spans="1:5">
      <c r="A1086" s="39" t="s">
        <v>577</v>
      </c>
      <c r="B1086" s="40" t="s">
        <v>1262</v>
      </c>
      <c r="C1086" s="39" t="s">
        <v>620</v>
      </c>
      <c r="D1086" s="6">
        <v>140</v>
      </c>
      <c r="E1086" s="6">
        <v>47</v>
      </c>
    </row>
    <row r="1087" spans="1:5">
      <c r="A1087" s="39" t="s">
        <v>577</v>
      </c>
      <c r="B1087" s="40" t="s">
        <v>1262</v>
      </c>
      <c r="C1087" s="53" t="s">
        <v>621</v>
      </c>
      <c r="D1087" s="6">
        <v>140</v>
      </c>
      <c r="E1087" s="6">
        <v>35</v>
      </c>
    </row>
    <row r="1088" spans="1:5">
      <c r="A1088" s="39" t="s">
        <v>577</v>
      </c>
      <c r="B1088" s="46" t="s">
        <v>1263</v>
      </c>
      <c r="C1088" s="53" t="s">
        <v>622</v>
      </c>
      <c r="D1088" s="6">
        <v>120</v>
      </c>
      <c r="E1088" s="6">
        <v>80</v>
      </c>
    </row>
    <row r="1089" spans="1:5">
      <c r="A1089" s="39" t="s">
        <v>577</v>
      </c>
      <c r="B1089" s="46" t="s">
        <v>1263</v>
      </c>
      <c r="C1089" s="39" t="s">
        <v>623</v>
      </c>
      <c r="D1089" s="6">
        <v>130</v>
      </c>
      <c r="E1089" s="6">
        <v>62</v>
      </c>
    </row>
    <row r="1090" spans="1:5">
      <c r="A1090" s="39" t="s">
        <v>577</v>
      </c>
      <c r="B1090" s="46" t="s">
        <v>1263</v>
      </c>
      <c r="C1090" s="39" t="s">
        <v>624</v>
      </c>
      <c r="D1090" s="10">
        <v>115</v>
      </c>
      <c r="E1090" s="10">
        <v>30</v>
      </c>
    </row>
    <row r="1091" spans="1:5">
      <c r="A1091" s="39" t="s">
        <v>577</v>
      </c>
      <c r="B1091" s="46" t="s">
        <v>1263</v>
      </c>
      <c r="C1091" s="39" t="s">
        <v>188</v>
      </c>
      <c r="D1091" s="6">
        <v>100</v>
      </c>
      <c r="E1091" s="6">
        <v>66</v>
      </c>
    </row>
    <row r="1092" spans="1:5">
      <c r="A1092" s="39" t="s">
        <v>577</v>
      </c>
      <c r="B1092" s="46" t="s">
        <v>1263</v>
      </c>
      <c r="C1092" s="53" t="s">
        <v>625</v>
      </c>
      <c r="D1092" s="6">
        <v>79</v>
      </c>
      <c r="E1092" s="6">
        <v>70</v>
      </c>
    </row>
    <row r="1093" spans="1:5" ht="18.75" customHeight="1">
      <c r="A1093" s="39" t="s">
        <v>577</v>
      </c>
      <c r="B1093" s="46" t="s">
        <v>1263</v>
      </c>
      <c r="C1093" s="39" t="s">
        <v>626</v>
      </c>
      <c r="D1093" s="6">
        <v>65</v>
      </c>
      <c r="E1093" s="6">
        <v>15</v>
      </c>
    </row>
    <row r="1094" spans="1:5">
      <c r="A1094" s="39" t="s">
        <v>577</v>
      </c>
      <c r="B1094" s="46" t="s">
        <v>1263</v>
      </c>
      <c r="C1094" s="39" t="s">
        <v>627</v>
      </c>
      <c r="D1094" s="10">
        <v>92</v>
      </c>
      <c r="E1094" s="10">
        <v>107</v>
      </c>
    </row>
    <row r="1095" spans="1:5">
      <c r="A1095" s="39" t="s">
        <v>577</v>
      </c>
      <c r="B1095" s="46" t="s">
        <v>1263</v>
      </c>
      <c r="C1095" s="39" t="s">
        <v>628</v>
      </c>
      <c r="D1095" s="10">
        <v>120</v>
      </c>
      <c r="E1095" s="10">
        <v>67</v>
      </c>
    </row>
    <row r="1096" spans="1:5">
      <c r="A1096" s="39" t="s">
        <v>577</v>
      </c>
      <c r="B1096" s="46" t="s">
        <v>1263</v>
      </c>
      <c r="C1096" s="39" t="s">
        <v>629</v>
      </c>
      <c r="D1096" s="10">
        <v>49</v>
      </c>
      <c r="E1096" s="10">
        <v>20</v>
      </c>
    </row>
    <row r="1097" spans="1:5">
      <c r="A1097" s="39" t="s">
        <v>577</v>
      </c>
      <c r="B1097" s="46" t="s">
        <v>1263</v>
      </c>
      <c r="C1097" s="39" t="s">
        <v>630</v>
      </c>
      <c r="D1097" s="10">
        <v>106</v>
      </c>
      <c r="E1097" s="10">
        <v>39</v>
      </c>
    </row>
    <row r="1098" spans="1:5">
      <c r="A1098" s="39" t="s">
        <v>577</v>
      </c>
      <c r="B1098" s="17" t="s">
        <v>1264</v>
      </c>
      <c r="C1098" s="39" t="s">
        <v>631</v>
      </c>
      <c r="D1098" s="10">
        <v>106</v>
      </c>
      <c r="E1098" s="10">
        <v>36</v>
      </c>
    </row>
    <row r="1099" spans="1:5">
      <c r="A1099" s="39" t="s">
        <v>577</v>
      </c>
      <c r="B1099" s="17" t="s">
        <v>1264</v>
      </c>
      <c r="C1099" s="39" t="s">
        <v>632</v>
      </c>
      <c r="D1099" s="10">
        <v>103</v>
      </c>
      <c r="E1099" s="10">
        <v>25</v>
      </c>
    </row>
    <row r="1100" spans="1:5">
      <c r="A1100" s="39" t="s">
        <v>577</v>
      </c>
      <c r="B1100" s="53" t="s">
        <v>1265</v>
      </c>
      <c r="C1100" s="53" t="s">
        <v>633</v>
      </c>
      <c r="D1100" s="6">
        <v>125</v>
      </c>
      <c r="E1100" s="6">
        <v>45</v>
      </c>
    </row>
    <row r="1101" spans="1:5">
      <c r="A1101" s="39" t="s">
        <v>577</v>
      </c>
      <c r="B1101" s="53" t="s">
        <v>1265</v>
      </c>
      <c r="C1101" s="53" t="s">
        <v>634</v>
      </c>
      <c r="D1101" s="6">
        <v>195</v>
      </c>
      <c r="E1101" s="6">
        <v>59</v>
      </c>
    </row>
    <row r="1102" spans="1:5">
      <c r="A1102" s="39" t="s">
        <v>577</v>
      </c>
      <c r="B1102" s="53" t="s">
        <v>1265</v>
      </c>
      <c r="C1102" s="53" t="s">
        <v>635</v>
      </c>
      <c r="D1102" s="6">
        <v>126</v>
      </c>
      <c r="E1102" s="6">
        <v>38</v>
      </c>
    </row>
    <row r="1103" spans="1:5">
      <c r="A1103" s="39" t="s">
        <v>577</v>
      </c>
      <c r="B1103" s="53" t="s">
        <v>1265</v>
      </c>
      <c r="C1103" s="53" t="s">
        <v>636</v>
      </c>
      <c r="D1103" s="6">
        <v>165</v>
      </c>
      <c r="E1103" s="6">
        <v>23</v>
      </c>
    </row>
    <row r="1104" spans="1:5">
      <c r="A1104" s="39" t="s">
        <v>577</v>
      </c>
      <c r="B1104" s="53" t="s">
        <v>1265</v>
      </c>
      <c r="C1104" s="53" t="s">
        <v>637</v>
      </c>
      <c r="D1104" s="6">
        <v>139</v>
      </c>
      <c r="E1104" s="6">
        <v>40</v>
      </c>
    </row>
    <row r="1105" spans="1:5">
      <c r="A1105" s="39" t="s">
        <v>577</v>
      </c>
      <c r="B1105" s="53" t="s">
        <v>1265</v>
      </c>
      <c r="C1105" s="53" t="s">
        <v>638</v>
      </c>
      <c r="D1105" s="6">
        <v>195</v>
      </c>
      <c r="E1105" s="6">
        <v>59</v>
      </c>
    </row>
    <row r="1106" spans="1:5">
      <c r="A1106" s="39" t="s">
        <v>577</v>
      </c>
      <c r="B1106" s="53" t="s">
        <v>1265</v>
      </c>
      <c r="C1106" s="53" t="s">
        <v>639</v>
      </c>
      <c r="D1106" s="6">
        <v>156</v>
      </c>
      <c r="E1106" s="6">
        <v>37</v>
      </c>
    </row>
    <row r="1107" spans="1:5">
      <c r="A1107" s="39" t="s">
        <v>577</v>
      </c>
      <c r="B1107" s="53" t="s">
        <v>1265</v>
      </c>
      <c r="C1107" s="53" t="s">
        <v>1254</v>
      </c>
      <c r="D1107" s="6">
        <v>90</v>
      </c>
      <c r="E1107" s="6">
        <v>40</v>
      </c>
    </row>
    <row r="1108" spans="1:5">
      <c r="A1108" s="39" t="s">
        <v>577</v>
      </c>
      <c r="B1108" s="53" t="s">
        <v>1265</v>
      </c>
      <c r="C1108" s="53" t="s">
        <v>640</v>
      </c>
      <c r="D1108" s="6">
        <v>80</v>
      </c>
      <c r="E1108" s="6">
        <v>40</v>
      </c>
    </row>
    <row r="1109" spans="1:5">
      <c r="A1109" s="39" t="s">
        <v>577</v>
      </c>
      <c r="B1109" s="53" t="s">
        <v>1265</v>
      </c>
      <c r="C1109" s="53" t="s">
        <v>585</v>
      </c>
      <c r="D1109" s="6">
        <v>180</v>
      </c>
      <c r="E1109" s="6">
        <v>180</v>
      </c>
    </row>
    <row r="1110" spans="1:5">
      <c r="A1110" s="39" t="s">
        <v>577</v>
      </c>
      <c r="B1110" s="53" t="s">
        <v>1265</v>
      </c>
      <c r="C1110" s="53" t="s">
        <v>586</v>
      </c>
      <c r="D1110" s="6">
        <v>180</v>
      </c>
      <c r="E1110" s="6">
        <v>180</v>
      </c>
    </row>
    <row r="1111" spans="1:5">
      <c r="A1111" s="39" t="s">
        <v>577</v>
      </c>
      <c r="B1111" s="53" t="s">
        <v>1265</v>
      </c>
      <c r="C1111" s="53" t="s">
        <v>587</v>
      </c>
      <c r="D1111" s="6">
        <v>180</v>
      </c>
      <c r="E1111" s="6">
        <v>180</v>
      </c>
    </row>
    <row r="1112" spans="1:5">
      <c r="A1112" s="39" t="s">
        <v>577</v>
      </c>
      <c r="B1112" s="53" t="s">
        <v>1265</v>
      </c>
      <c r="C1112" s="53" t="s">
        <v>641</v>
      </c>
      <c r="D1112" s="6">
        <v>70</v>
      </c>
      <c r="E1112" s="6">
        <v>37</v>
      </c>
    </row>
    <row r="1113" spans="1:5">
      <c r="A1113" s="39" t="s">
        <v>577</v>
      </c>
      <c r="B1113" s="53" t="s">
        <v>1265</v>
      </c>
      <c r="C1113" s="53" t="s">
        <v>642</v>
      </c>
      <c r="D1113" s="6">
        <v>80</v>
      </c>
      <c r="E1113" s="6">
        <v>35</v>
      </c>
    </row>
    <row r="1114" spans="1:5">
      <c r="A1114" s="39" t="s">
        <v>577</v>
      </c>
      <c r="B1114" s="53" t="s">
        <v>1265</v>
      </c>
      <c r="C1114" s="53" t="s">
        <v>643</v>
      </c>
      <c r="D1114" s="6">
        <v>430</v>
      </c>
      <c r="E1114" s="6">
        <v>205</v>
      </c>
    </row>
    <row r="1115" spans="1:5">
      <c r="A1115" s="39" t="s">
        <v>577</v>
      </c>
      <c r="B1115" s="53" t="s">
        <v>1265</v>
      </c>
      <c r="C1115" s="53" t="s">
        <v>644</v>
      </c>
      <c r="D1115" s="6">
        <v>65</v>
      </c>
      <c r="E1115" s="6">
        <v>70</v>
      </c>
    </row>
    <row r="1116" spans="1:5">
      <c r="A1116" s="39" t="s">
        <v>577</v>
      </c>
      <c r="B1116" s="53" t="s">
        <v>1265</v>
      </c>
      <c r="C1116" s="53" t="s">
        <v>645</v>
      </c>
      <c r="D1116" s="6">
        <v>38</v>
      </c>
      <c r="E1116" s="6">
        <v>13</v>
      </c>
    </row>
    <row r="1117" spans="1:5">
      <c r="A1117" s="39" t="s">
        <v>577</v>
      </c>
      <c r="B1117" s="53" t="s">
        <v>1265</v>
      </c>
      <c r="C1117" s="53" t="s">
        <v>1255</v>
      </c>
      <c r="D1117" s="6">
        <v>84</v>
      </c>
      <c r="E1117" s="6">
        <v>22</v>
      </c>
    </row>
    <row r="1118" spans="1:5">
      <c r="A1118" s="39" t="s">
        <v>577</v>
      </c>
      <c r="B1118" s="53" t="s">
        <v>1265</v>
      </c>
      <c r="C1118" s="53" t="s">
        <v>1256</v>
      </c>
      <c r="D1118" s="6">
        <v>32</v>
      </c>
      <c r="E1118" s="6">
        <v>6</v>
      </c>
    </row>
    <row r="1119" spans="1:5">
      <c r="A1119" s="39" t="s">
        <v>577</v>
      </c>
      <c r="B1119" s="53" t="s">
        <v>1265</v>
      </c>
      <c r="C1119" s="53" t="s">
        <v>646</v>
      </c>
      <c r="D1119" s="6">
        <v>136</v>
      </c>
      <c r="E1119" s="6">
        <v>62</v>
      </c>
    </row>
    <row r="1120" spans="1:5">
      <c r="A1120" s="39" t="s">
        <v>577</v>
      </c>
      <c r="B1120" s="53" t="s">
        <v>1265</v>
      </c>
      <c r="C1120" s="53" t="s">
        <v>647</v>
      </c>
      <c r="D1120" s="6">
        <v>73</v>
      </c>
      <c r="E1120" s="6">
        <v>81</v>
      </c>
    </row>
    <row r="1121" spans="1:5">
      <c r="A1121" s="39" t="s">
        <v>577</v>
      </c>
      <c r="B1121" s="39" t="s">
        <v>1266</v>
      </c>
      <c r="C1121" s="39" t="s">
        <v>648</v>
      </c>
      <c r="D1121" s="6">
        <v>246</v>
      </c>
      <c r="E1121" s="6">
        <v>51</v>
      </c>
    </row>
    <row r="1122" spans="1:5">
      <c r="A1122" s="39" t="s">
        <v>577</v>
      </c>
      <c r="B1122" s="39" t="s">
        <v>1266</v>
      </c>
      <c r="C1122" s="39" t="s">
        <v>649</v>
      </c>
      <c r="D1122" s="6">
        <v>81</v>
      </c>
      <c r="E1122" s="6">
        <v>42</v>
      </c>
    </row>
    <row r="1123" spans="1:5">
      <c r="A1123" s="39" t="s">
        <v>577</v>
      </c>
      <c r="B1123" s="39" t="s">
        <v>1266</v>
      </c>
      <c r="C1123" s="39" t="s">
        <v>650</v>
      </c>
      <c r="D1123" s="6">
        <v>60</v>
      </c>
      <c r="E1123" s="6">
        <v>39</v>
      </c>
    </row>
    <row r="1124" spans="1:5">
      <c r="A1124" s="39" t="s">
        <v>577</v>
      </c>
      <c r="B1124" s="39" t="s">
        <v>1266</v>
      </c>
      <c r="C1124" s="39" t="s">
        <v>651</v>
      </c>
      <c r="D1124" s="6">
        <v>190</v>
      </c>
      <c r="E1124" s="6">
        <v>195</v>
      </c>
    </row>
    <row r="1125" spans="1:5">
      <c r="A1125" s="39" t="s">
        <v>577</v>
      </c>
      <c r="B1125" s="39" t="s">
        <v>1266</v>
      </c>
      <c r="C1125" s="39" t="s">
        <v>652</v>
      </c>
      <c r="D1125" s="6">
        <v>40</v>
      </c>
      <c r="E1125" s="6">
        <v>47</v>
      </c>
    </row>
    <row r="1126" spans="1:5">
      <c r="A1126" s="39" t="s">
        <v>577</v>
      </c>
      <c r="B1126" s="39" t="s">
        <v>1266</v>
      </c>
      <c r="C1126" s="39" t="s">
        <v>653</v>
      </c>
      <c r="D1126" s="6">
        <v>40</v>
      </c>
      <c r="E1126" s="6">
        <v>12</v>
      </c>
    </row>
    <row r="1127" spans="1:5">
      <c r="A1127" s="39" t="s">
        <v>577</v>
      </c>
      <c r="B1127" s="39" t="s">
        <v>1266</v>
      </c>
      <c r="C1127" s="39" t="s">
        <v>654</v>
      </c>
      <c r="D1127" s="6">
        <v>108</v>
      </c>
      <c r="E1127" s="6">
        <v>28</v>
      </c>
    </row>
    <row r="1128" spans="1:5">
      <c r="A1128" s="39" t="s">
        <v>577</v>
      </c>
      <c r="B1128" s="39" t="s">
        <v>1266</v>
      </c>
      <c r="C1128" s="39" t="s">
        <v>655</v>
      </c>
      <c r="D1128" s="6">
        <v>51</v>
      </c>
      <c r="E1128" s="6">
        <v>29</v>
      </c>
    </row>
    <row r="1129" spans="1:5">
      <c r="A1129" s="39" t="s">
        <v>577</v>
      </c>
      <c r="B1129" s="39" t="s">
        <v>1267</v>
      </c>
      <c r="C1129" s="39" t="s">
        <v>656</v>
      </c>
      <c r="D1129" s="6">
        <v>115</v>
      </c>
      <c r="E1129" s="6">
        <v>57</v>
      </c>
    </row>
    <row r="1130" spans="1:5">
      <c r="A1130" s="39" t="s">
        <v>577</v>
      </c>
      <c r="B1130" s="39" t="s">
        <v>1267</v>
      </c>
      <c r="C1130" s="39" t="s">
        <v>353</v>
      </c>
      <c r="D1130" s="6">
        <v>65</v>
      </c>
      <c r="E1130" s="6">
        <v>24</v>
      </c>
    </row>
    <row r="1131" spans="1:5">
      <c r="A1131" s="39" t="s">
        <v>577</v>
      </c>
      <c r="B1131" s="39" t="s">
        <v>1268</v>
      </c>
      <c r="C1131" s="39" t="s">
        <v>657</v>
      </c>
      <c r="D1131" s="6">
        <v>376</v>
      </c>
      <c r="E1131" s="6">
        <v>80</v>
      </c>
    </row>
    <row r="1132" spans="1:5">
      <c r="A1132" s="39" t="s">
        <v>577</v>
      </c>
      <c r="B1132" s="39" t="s">
        <v>1268</v>
      </c>
      <c r="C1132" s="39" t="s">
        <v>1257</v>
      </c>
      <c r="D1132" s="6">
        <v>371</v>
      </c>
      <c r="E1132" s="6">
        <v>37</v>
      </c>
    </row>
    <row r="1133" spans="1:5">
      <c r="A1133" s="39" t="s">
        <v>577</v>
      </c>
      <c r="B1133" s="39" t="s">
        <v>589</v>
      </c>
      <c r="C1133" s="39" t="s">
        <v>658</v>
      </c>
      <c r="D1133" s="10">
        <v>110</v>
      </c>
      <c r="E1133" s="6">
        <v>66</v>
      </c>
    </row>
    <row r="1134" spans="1:5">
      <c r="A1134" s="39" t="s">
        <v>577</v>
      </c>
      <c r="B1134" s="39" t="s">
        <v>589</v>
      </c>
      <c r="C1134" s="39" t="s">
        <v>659</v>
      </c>
      <c r="D1134" s="10">
        <v>115</v>
      </c>
      <c r="E1134" s="6">
        <v>45</v>
      </c>
    </row>
    <row r="1135" spans="1:5">
      <c r="A1135" s="39" t="s">
        <v>577</v>
      </c>
      <c r="B1135" s="39" t="s">
        <v>589</v>
      </c>
      <c r="C1135" s="39" t="s">
        <v>588</v>
      </c>
      <c r="D1135" s="10">
        <v>332</v>
      </c>
      <c r="E1135" s="6">
        <v>74</v>
      </c>
    </row>
    <row r="1136" spans="1:5">
      <c r="A1136" s="39" t="s">
        <v>577</v>
      </c>
      <c r="B1136" s="39" t="s">
        <v>589</v>
      </c>
      <c r="C1136" s="39" t="s">
        <v>660</v>
      </c>
      <c r="D1136" s="6">
        <v>47</v>
      </c>
      <c r="E1136" s="6">
        <v>60</v>
      </c>
    </row>
    <row r="1137" spans="1:5">
      <c r="A1137" s="39" t="s">
        <v>577</v>
      </c>
      <c r="B1137" s="39" t="s">
        <v>589</v>
      </c>
      <c r="C1137" s="39" t="s">
        <v>661</v>
      </c>
      <c r="D1137" s="10">
        <v>50</v>
      </c>
      <c r="E1137" s="10">
        <v>35</v>
      </c>
    </row>
    <row r="1138" spans="1:5">
      <c r="A1138" s="58" t="s">
        <v>577</v>
      </c>
      <c r="B1138" s="58" t="s">
        <v>589</v>
      </c>
      <c r="C1138" s="58" t="s">
        <v>589</v>
      </c>
      <c r="D1138" s="59">
        <v>50</v>
      </c>
      <c r="E1138" s="59">
        <v>30</v>
      </c>
    </row>
    <row r="1139" spans="1:5">
      <c r="A1139" s="60" t="s">
        <v>1337</v>
      </c>
      <c r="B1139" s="61" t="s">
        <v>1269</v>
      </c>
      <c r="C1139" s="61" t="s">
        <v>1270</v>
      </c>
      <c r="D1139" s="63">
        <v>112</v>
      </c>
      <c r="E1139" s="60"/>
    </row>
    <row r="1140" spans="1:5">
      <c r="A1140" s="60" t="s">
        <v>1337</v>
      </c>
      <c r="B1140" s="61" t="s">
        <v>1269</v>
      </c>
      <c r="C1140" s="61" t="s">
        <v>1271</v>
      </c>
      <c r="D1140" s="63">
        <v>247</v>
      </c>
      <c r="E1140" s="60"/>
    </row>
    <row r="1141" spans="1:5">
      <c r="A1141" s="60" t="s">
        <v>1337</v>
      </c>
      <c r="B1141" s="61" t="s">
        <v>1269</v>
      </c>
      <c r="C1141" s="61" t="s">
        <v>1272</v>
      </c>
      <c r="D1141" s="63">
        <v>297</v>
      </c>
      <c r="E1141" s="60"/>
    </row>
    <row r="1142" spans="1:5">
      <c r="A1142" s="60" t="s">
        <v>1337</v>
      </c>
      <c r="B1142" s="61" t="s">
        <v>1269</v>
      </c>
      <c r="C1142" s="61" t="s">
        <v>1273</v>
      </c>
      <c r="D1142" s="63">
        <v>139</v>
      </c>
      <c r="E1142" s="60"/>
    </row>
    <row r="1143" spans="1:5">
      <c r="A1143" s="60" t="s">
        <v>1337</v>
      </c>
      <c r="B1143" s="61" t="s">
        <v>1269</v>
      </c>
      <c r="C1143" s="61" t="s">
        <v>1274</v>
      </c>
      <c r="D1143" s="63">
        <v>91</v>
      </c>
      <c r="E1143" s="60"/>
    </row>
    <row r="1144" spans="1:5">
      <c r="A1144" s="60" t="s">
        <v>1337</v>
      </c>
      <c r="B1144" s="61" t="s">
        <v>1269</v>
      </c>
      <c r="C1144" s="61" t="s">
        <v>1275</v>
      </c>
      <c r="D1144" s="63">
        <v>42</v>
      </c>
      <c r="E1144" s="60"/>
    </row>
    <row r="1145" spans="1:5">
      <c r="A1145" s="60" t="s">
        <v>1337</v>
      </c>
      <c r="B1145" s="61" t="s">
        <v>1269</v>
      </c>
      <c r="C1145" s="61" t="s">
        <v>1276</v>
      </c>
      <c r="D1145" s="63">
        <v>48</v>
      </c>
      <c r="E1145" s="60"/>
    </row>
    <row r="1146" spans="1:5">
      <c r="A1146" s="60" t="s">
        <v>1337</v>
      </c>
      <c r="B1146" s="61" t="s">
        <v>1269</v>
      </c>
      <c r="C1146" s="61" t="s">
        <v>1277</v>
      </c>
      <c r="D1146" s="63">
        <v>80</v>
      </c>
      <c r="E1146" s="60"/>
    </row>
    <row r="1147" spans="1:5">
      <c r="A1147" s="60" t="s">
        <v>1337</v>
      </c>
      <c r="B1147" s="61" t="s">
        <v>1269</v>
      </c>
      <c r="C1147" s="61" t="s">
        <v>1278</v>
      </c>
      <c r="D1147" s="63">
        <v>99</v>
      </c>
      <c r="E1147" s="60"/>
    </row>
    <row r="1148" spans="1:5">
      <c r="A1148" s="60" t="s">
        <v>1337</v>
      </c>
      <c r="B1148" s="61" t="s">
        <v>1269</v>
      </c>
      <c r="C1148" s="61" t="s">
        <v>297</v>
      </c>
      <c r="D1148" s="63">
        <v>55</v>
      </c>
      <c r="E1148" s="60"/>
    </row>
    <row r="1149" spans="1:5">
      <c r="A1149" s="60" t="s">
        <v>1337</v>
      </c>
      <c r="B1149" s="61" t="s">
        <v>1269</v>
      </c>
      <c r="C1149" s="61" t="s">
        <v>1279</v>
      </c>
      <c r="D1149" s="63">
        <v>48</v>
      </c>
      <c r="E1149" s="60"/>
    </row>
    <row r="1150" spans="1:5">
      <c r="A1150" s="60" t="s">
        <v>1337</v>
      </c>
      <c r="B1150" s="61" t="s">
        <v>1280</v>
      </c>
      <c r="C1150" s="61" t="s">
        <v>1281</v>
      </c>
      <c r="D1150" s="63">
        <v>312</v>
      </c>
      <c r="E1150" s="60"/>
    </row>
    <row r="1151" spans="1:5">
      <c r="A1151" s="60" t="s">
        <v>1337</v>
      </c>
      <c r="B1151" s="61" t="s">
        <v>1280</v>
      </c>
      <c r="C1151" s="61" t="s">
        <v>1207</v>
      </c>
      <c r="D1151" s="63">
        <v>71</v>
      </c>
      <c r="E1151" s="60"/>
    </row>
    <row r="1152" spans="1:5">
      <c r="A1152" s="60" t="s">
        <v>1337</v>
      </c>
      <c r="B1152" s="61" t="s">
        <v>1280</v>
      </c>
      <c r="C1152" s="61" t="s">
        <v>1282</v>
      </c>
      <c r="D1152" s="63">
        <v>67</v>
      </c>
      <c r="E1152" s="60"/>
    </row>
    <row r="1153" spans="1:5">
      <c r="A1153" s="60" t="s">
        <v>1337</v>
      </c>
      <c r="B1153" s="62" t="s">
        <v>1280</v>
      </c>
      <c r="C1153" s="62" t="s">
        <v>1283</v>
      </c>
      <c r="D1153" s="64">
        <v>40</v>
      </c>
      <c r="E1153" s="60"/>
    </row>
    <row r="1154" spans="1:5">
      <c r="A1154" s="60" t="s">
        <v>1337</v>
      </c>
      <c r="B1154" s="61" t="s">
        <v>1284</v>
      </c>
      <c r="C1154" s="61" t="s">
        <v>1285</v>
      </c>
      <c r="D1154" s="63">
        <v>124</v>
      </c>
      <c r="E1154" s="60"/>
    </row>
    <row r="1155" spans="1:5">
      <c r="A1155" s="60" t="s">
        <v>1337</v>
      </c>
      <c r="B1155" s="61" t="s">
        <v>1284</v>
      </c>
      <c r="C1155" s="61" t="s">
        <v>1286</v>
      </c>
      <c r="D1155" s="63">
        <v>53</v>
      </c>
      <c r="E1155" s="60"/>
    </row>
    <row r="1156" spans="1:5">
      <c r="A1156" s="60" t="s">
        <v>1337</v>
      </c>
      <c r="B1156" s="61" t="s">
        <v>1284</v>
      </c>
      <c r="C1156" s="61" t="s">
        <v>1287</v>
      </c>
      <c r="D1156" s="63">
        <v>49</v>
      </c>
      <c r="E1156" s="60"/>
    </row>
    <row r="1157" spans="1:5">
      <c r="A1157" s="60" t="s">
        <v>1337</v>
      </c>
      <c r="B1157" s="61" t="s">
        <v>1284</v>
      </c>
      <c r="C1157" s="61" t="s">
        <v>1288</v>
      </c>
      <c r="D1157" s="63">
        <v>37</v>
      </c>
      <c r="E1157" s="60"/>
    </row>
    <row r="1158" spans="1:5">
      <c r="A1158" s="60" t="s">
        <v>1337</v>
      </c>
      <c r="B1158" s="61" t="s">
        <v>1284</v>
      </c>
      <c r="C1158" s="61" t="s">
        <v>1289</v>
      </c>
      <c r="D1158" s="63">
        <v>75</v>
      </c>
      <c r="E1158" s="60"/>
    </row>
    <row r="1159" spans="1:5">
      <c r="A1159" s="60" t="s">
        <v>1337</v>
      </c>
      <c r="B1159" s="62" t="s">
        <v>1290</v>
      </c>
      <c r="C1159" s="62" t="s">
        <v>1291</v>
      </c>
      <c r="D1159" s="64">
        <v>157</v>
      </c>
      <c r="E1159" s="60"/>
    </row>
    <row r="1160" spans="1:5">
      <c r="A1160" s="60" t="s">
        <v>1337</v>
      </c>
      <c r="B1160" s="61" t="s">
        <v>1290</v>
      </c>
      <c r="C1160" s="61" t="s">
        <v>1292</v>
      </c>
      <c r="D1160" s="63">
        <v>162</v>
      </c>
      <c r="E1160" s="60"/>
    </row>
    <row r="1161" spans="1:5">
      <c r="A1161" s="60" t="s">
        <v>1337</v>
      </c>
      <c r="B1161" s="61" t="s">
        <v>1290</v>
      </c>
      <c r="C1161" s="61" t="s">
        <v>1293</v>
      </c>
      <c r="D1161" s="63">
        <v>94</v>
      </c>
      <c r="E1161" s="60"/>
    </row>
    <row r="1162" spans="1:5">
      <c r="A1162" s="60" t="s">
        <v>1337</v>
      </c>
      <c r="B1162" s="61" t="s">
        <v>1290</v>
      </c>
      <c r="C1162" s="61" t="s">
        <v>1294</v>
      </c>
      <c r="D1162" s="63">
        <v>87</v>
      </c>
      <c r="E1162" s="60"/>
    </row>
    <row r="1163" spans="1:5">
      <c r="A1163" s="60" t="s">
        <v>1337</v>
      </c>
      <c r="B1163" s="61" t="s">
        <v>1290</v>
      </c>
      <c r="C1163" s="61" t="s">
        <v>1295</v>
      </c>
      <c r="D1163" s="63">
        <v>242</v>
      </c>
      <c r="E1163" s="60"/>
    </row>
    <row r="1164" spans="1:5">
      <c r="A1164" s="60" t="s">
        <v>1337</v>
      </c>
      <c r="B1164" s="61" t="s">
        <v>1290</v>
      </c>
      <c r="C1164" s="61" t="s">
        <v>1296</v>
      </c>
      <c r="D1164" s="63">
        <v>156</v>
      </c>
      <c r="E1164" s="60"/>
    </row>
    <row r="1165" spans="1:5">
      <c r="A1165" s="60" t="s">
        <v>1337</v>
      </c>
      <c r="B1165" s="62" t="s">
        <v>1290</v>
      </c>
      <c r="C1165" s="62" t="s">
        <v>1297</v>
      </c>
      <c r="D1165" s="64">
        <v>189</v>
      </c>
      <c r="E1165" s="60"/>
    </row>
    <row r="1166" spans="1:5">
      <c r="A1166" s="60" t="s">
        <v>1337</v>
      </c>
      <c r="B1166" s="61" t="s">
        <v>1290</v>
      </c>
      <c r="C1166" s="61" t="s">
        <v>565</v>
      </c>
      <c r="D1166" s="63">
        <v>92</v>
      </c>
      <c r="E1166" s="60"/>
    </row>
    <row r="1167" spans="1:5">
      <c r="A1167" s="60" t="s">
        <v>1337</v>
      </c>
      <c r="B1167" s="61" t="s">
        <v>1290</v>
      </c>
      <c r="C1167" s="61" t="s">
        <v>1298</v>
      </c>
      <c r="D1167" s="63">
        <v>148</v>
      </c>
      <c r="E1167" s="60"/>
    </row>
    <row r="1168" spans="1:5">
      <c r="A1168" s="60" t="s">
        <v>1337</v>
      </c>
      <c r="B1168" s="61" t="s">
        <v>1299</v>
      </c>
      <c r="C1168" s="61" t="s">
        <v>1300</v>
      </c>
      <c r="D1168" s="63">
        <v>105</v>
      </c>
      <c r="E1168" s="60"/>
    </row>
    <row r="1169" spans="1:5">
      <c r="A1169" s="60" t="s">
        <v>1337</v>
      </c>
      <c r="B1169" s="61" t="s">
        <v>1299</v>
      </c>
      <c r="C1169" s="61" t="s">
        <v>1301</v>
      </c>
      <c r="D1169" s="63">
        <v>67</v>
      </c>
      <c r="E1169" s="60"/>
    </row>
    <row r="1170" spans="1:5">
      <c r="A1170" s="60" t="s">
        <v>1337</v>
      </c>
      <c r="B1170" s="62" t="s">
        <v>1299</v>
      </c>
      <c r="C1170" s="62" t="s">
        <v>447</v>
      </c>
      <c r="D1170" s="64">
        <v>67</v>
      </c>
      <c r="E1170" s="60"/>
    </row>
    <row r="1171" spans="1:5">
      <c r="A1171" s="60" t="s">
        <v>1337</v>
      </c>
      <c r="B1171" s="61" t="s">
        <v>1299</v>
      </c>
      <c r="C1171" s="61" t="s">
        <v>1302</v>
      </c>
      <c r="D1171" s="63">
        <v>80</v>
      </c>
      <c r="E1171" s="60"/>
    </row>
    <row r="1172" spans="1:5">
      <c r="A1172" s="60" t="s">
        <v>1337</v>
      </c>
      <c r="B1172" s="61" t="s">
        <v>1299</v>
      </c>
      <c r="C1172" s="61" t="s">
        <v>1303</v>
      </c>
      <c r="D1172" s="63">
        <v>52</v>
      </c>
      <c r="E1172" s="60"/>
    </row>
    <row r="1173" spans="1:5">
      <c r="A1173" s="60" t="s">
        <v>1337</v>
      </c>
      <c r="B1173" s="61" t="s">
        <v>1299</v>
      </c>
      <c r="C1173" s="61" t="s">
        <v>1304</v>
      </c>
      <c r="D1173" s="63">
        <v>57</v>
      </c>
      <c r="E1173" s="60"/>
    </row>
    <row r="1174" spans="1:5">
      <c r="A1174" s="60" t="s">
        <v>1337</v>
      </c>
      <c r="B1174" s="61" t="s">
        <v>1299</v>
      </c>
      <c r="C1174" s="61" t="s">
        <v>1305</v>
      </c>
      <c r="D1174" s="63">
        <v>51</v>
      </c>
      <c r="E1174" s="60"/>
    </row>
    <row r="1175" spans="1:5">
      <c r="A1175" s="60" t="s">
        <v>1337</v>
      </c>
      <c r="B1175" s="61" t="s">
        <v>1299</v>
      </c>
      <c r="C1175" s="61" t="s">
        <v>1253</v>
      </c>
      <c r="D1175" s="63">
        <v>111</v>
      </c>
      <c r="E1175" s="60"/>
    </row>
    <row r="1176" spans="1:5">
      <c r="A1176" s="60" t="s">
        <v>1337</v>
      </c>
      <c r="B1176" s="61" t="s">
        <v>1299</v>
      </c>
      <c r="C1176" s="61" t="s">
        <v>1306</v>
      </c>
      <c r="D1176" s="63">
        <v>70</v>
      </c>
      <c r="E1176" s="60"/>
    </row>
    <row r="1177" spans="1:5">
      <c r="A1177" s="60" t="s">
        <v>1337</v>
      </c>
      <c r="B1177" s="61" t="s">
        <v>1307</v>
      </c>
      <c r="C1177" s="61" t="s">
        <v>1250</v>
      </c>
      <c r="D1177" s="63">
        <v>145</v>
      </c>
      <c r="E1177" s="60"/>
    </row>
    <row r="1178" spans="1:5">
      <c r="A1178" s="60" t="s">
        <v>1337</v>
      </c>
      <c r="B1178" s="61" t="s">
        <v>1307</v>
      </c>
      <c r="C1178" s="61" t="s">
        <v>1308</v>
      </c>
      <c r="D1178" s="63">
        <v>70</v>
      </c>
      <c r="E1178" s="60"/>
    </row>
    <row r="1179" spans="1:5">
      <c r="A1179" s="60" t="s">
        <v>1337</v>
      </c>
      <c r="B1179" s="62" t="s">
        <v>1307</v>
      </c>
      <c r="C1179" s="62" t="s">
        <v>1309</v>
      </c>
      <c r="D1179" s="64">
        <v>82</v>
      </c>
      <c r="E1179" s="60"/>
    </row>
    <row r="1180" spans="1:5">
      <c r="A1180" s="60" t="s">
        <v>1337</v>
      </c>
      <c r="B1180" s="62" t="s">
        <v>1307</v>
      </c>
      <c r="C1180" s="62" t="s">
        <v>1310</v>
      </c>
      <c r="D1180" s="64">
        <v>50</v>
      </c>
      <c r="E1180" s="60"/>
    </row>
    <row r="1181" spans="1:5">
      <c r="A1181" s="60" t="s">
        <v>1337</v>
      </c>
      <c r="B1181" s="62" t="s">
        <v>1307</v>
      </c>
      <c r="C1181" s="62" t="s">
        <v>1311</v>
      </c>
      <c r="D1181" s="64">
        <v>60</v>
      </c>
      <c r="E1181" s="60"/>
    </row>
    <row r="1182" spans="1:5">
      <c r="A1182" s="60" t="s">
        <v>1337</v>
      </c>
      <c r="B1182" s="61" t="s">
        <v>1307</v>
      </c>
      <c r="C1182" s="61" t="s">
        <v>1252</v>
      </c>
      <c r="D1182" s="63">
        <v>45</v>
      </c>
      <c r="E1182" s="60"/>
    </row>
    <row r="1183" spans="1:5">
      <c r="A1183" s="60" t="s">
        <v>1337</v>
      </c>
      <c r="B1183" s="61" t="s">
        <v>1312</v>
      </c>
      <c r="C1183" s="61" t="s">
        <v>575</v>
      </c>
      <c r="D1183" s="63">
        <v>80</v>
      </c>
      <c r="E1183" s="60"/>
    </row>
    <row r="1184" spans="1:5">
      <c r="A1184" s="60" t="s">
        <v>1337</v>
      </c>
      <c r="B1184" s="61" t="s">
        <v>1312</v>
      </c>
      <c r="C1184" s="61" t="s">
        <v>194</v>
      </c>
      <c r="D1184" s="63">
        <v>125</v>
      </c>
      <c r="E1184" s="60"/>
    </row>
    <row r="1185" spans="1:5">
      <c r="A1185" s="60" t="s">
        <v>1337</v>
      </c>
      <c r="B1185" s="61" t="s">
        <v>1312</v>
      </c>
      <c r="C1185" s="61" t="s">
        <v>496</v>
      </c>
      <c r="D1185" s="63">
        <v>60</v>
      </c>
      <c r="E1185" s="60"/>
    </row>
    <row r="1186" spans="1:5">
      <c r="A1186" s="60" t="s">
        <v>1337</v>
      </c>
      <c r="B1186" s="61" t="s">
        <v>1312</v>
      </c>
      <c r="C1186" s="61" t="s">
        <v>1313</v>
      </c>
      <c r="D1186" s="63">
        <v>95</v>
      </c>
      <c r="E1186" s="60"/>
    </row>
    <row r="1187" spans="1:5">
      <c r="A1187" s="60" t="s">
        <v>1337</v>
      </c>
      <c r="B1187" s="61" t="s">
        <v>1312</v>
      </c>
      <c r="C1187" s="61" t="s">
        <v>1314</v>
      </c>
      <c r="D1187" s="63">
        <v>28</v>
      </c>
      <c r="E1187" s="60"/>
    </row>
    <row r="1188" spans="1:5">
      <c r="A1188" s="60" t="s">
        <v>1337</v>
      </c>
      <c r="B1188" s="61" t="s">
        <v>1312</v>
      </c>
      <c r="C1188" s="61" t="s">
        <v>1315</v>
      </c>
      <c r="D1188" s="63">
        <v>119</v>
      </c>
      <c r="E1188" s="60"/>
    </row>
    <row r="1189" spans="1:5">
      <c r="A1189" s="60" t="s">
        <v>1337</v>
      </c>
      <c r="B1189" s="61" t="s">
        <v>1312</v>
      </c>
      <c r="C1189" s="61" t="s">
        <v>1316</v>
      </c>
      <c r="D1189" s="63">
        <v>65</v>
      </c>
      <c r="E1189" s="60"/>
    </row>
    <row r="1190" spans="1:5">
      <c r="A1190" s="60" t="s">
        <v>1337</v>
      </c>
      <c r="B1190" s="61" t="s">
        <v>1317</v>
      </c>
      <c r="C1190" s="61" t="s">
        <v>1318</v>
      </c>
      <c r="D1190" s="63">
        <v>26</v>
      </c>
      <c r="E1190" s="60"/>
    </row>
    <row r="1191" spans="1:5">
      <c r="A1191" s="60" t="s">
        <v>1337</v>
      </c>
      <c r="B1191" s="61" t="s">
        <v>1317</v>
      </c>
      <c r="C1191" s="61" t="s">
        <v>1319</v>
      </c>
      <c r="D1191" s="63">
        <v>42</v>
      </c>
      <c r="E1191" s="60"/>
    </row>
    <row r="1192" spans="1:5">
      <c r="A1192" s="60" t="s">
        <v>1337</v>
      </c>
      <c r="B1192" s="62" t="s">
        <v>1317</v>
      </c>
      <c r="C1192" s="62" t="s">
        <v>1320</v>
      </c>
      <c r="D1192" s="64">
        <v>268</v>
      </c>
      <c r="E1192" s="60"/>
    </row>
    <row r="1193" spans="1:5">
      <c r="A1193" s="60" t="s">
        <v>1337</v>
      </c>
      <c r="B1193" s="61" t="s">
        <v>1321</v>
      </c>
      <c r="C1193" s="61" t="s">
        <v>1322</v>
      </c>
      <c r="D1193" s="63">
        <v>67</v>
      </c>
      <c r="E1193" s="60"/>
    </row>
    <row r="1194" spans="1:5">
      <c r="A1194" s="60" t="s">
        <v>1337</v>
      </c>
      <c r="B1194" s="61" t="s">
        <v>1321</v>
      </c>
      <c r="C1194" s="61" t="s">
        <v>1323</v>
      </c>
      <c r="D1194" s="63">
        <v>45</v>
      </c>
      <c r="E1194" s="60"/>
    </row>
    <row r="1195" spans="1:5">
      <c r="A1195" s="60" t="s">
        <v>1337</v>
      </c>
      <c r="B1195" s="62" t="s">
        <v>1321</v>
      </c>
      <c r="C1195" s="62" t="s">
        <v>1324</v>
      </c>
      <c r="D1195" s="64">
        <v>63</v>
      </c>
      <c r="E1195" s="60"/>
    </row>
    <row r="1196" spans="1:5">
      <c r="A1196" s="60" t="s">
        <v>1337</v>
      </c>
      <c r="B1196" s="62" t="s">
        <v>1321</v>
      </c>
      <c r="C1196" s="62" t="s">
        <v>1325</v>
      </c>
      <c r="D1196" s="64">
        <v>152</v>
      </c>
      <c r="E1196" s="60"/>
    </row>
    <row r="1197" spans="1:5">
      <c r="A1197" s="60" t="s">
        <v>1337</v>
      </c>
      <c r="B1197" s="62" t="s">
        <v>1321</v>
      </c>
      <c r="C1197" s="62" t="s">
        <v>1326</v>
      </c>
      <c r="D1197" s="64">
        <v>43</v>
      </c>
      <c r="E1197" s="60"/>
    </row>
    <row r="1198" spans="1:5">
      <c r="A1198" s="60" t="s">
        <v>1337</v>
      </c>
      <c r="B1198" s="61" t="s">
        <v>1321</v>
      </c>
      <c r="C1198" s="61" t="s">
        <v>1327</v>
      </c>
      <c r="D1198" s="64">
        <v>80</v>
      </c>
      <c r="E1198" s="60"/>
    </row>
    <row r="1199" spans="1:5">
      <c r="A1199" s="60" t="s">
        <v>1337</v>
      </c>
      <c r="B1199" s="61" t="s">
        <v>1321</v>
      </c>
      <c r="C1199" s="61" t="s">
        <v>1328</v>
      </c>
      <c r="D1199" s="63">
        <v>47</v>
      </c>
      <c r="E1199" s="60"/>
    </row>
    <row r="1200" spans="1:5">
      <c r="A1200" s="60" t="s">
        <v>1337</v>
      </c>
      <c r="B1200" s="61" t="s">
        <v>1329</v>
      </c>
      <c r="C1200" s="61" t="s">
        <v>429</v>
      </c>
      <c r="D1200" s="63">
        <v>79</v>
      </c>
      <c r="E1200" s="60"/>
    </row>
    <row r="1201" spans="1:5">
      <c r="A1201" s="60" t="s">
        <v>1337</v>
      </c>
      <c r="B1201" s="61" t="s">
        <v>1329</v>
      </c>
      <c r="C1201" s="61" t="s">
        <v>1330</v>
      </c>
      <c r="D1201" s="63">
        <v>43</v>
      </c>
      <c r="E1201" s="60"/>
    </row>
    <row r="1202" spans="1:5">
      <c r="A1202" s="60" t="s">
        <v>1337</v>
      </c>
      <c r="B1202" s="61" t="s">
        <v>1329</v>
      </c>
      <c r="C1202" s="61" t="s">
        <v>66</v>
      </c>
      <c r="D1202" s="63">
        <v>70</v>
      </c>
      <c r="E1202" s="60"/>
    </row>
    <row r="1203" spans="1:5">
      <c r="A1203" s="60" t="s">
        <v>1337</v>
      </c>
      <c r="B1203" s="61" t="s">
        <v>1331</v>
      </c>
      <c r="C1203" s="61" t="s">
        <v>1332</v>
      </c>
      <c r="D1203" s="63">
        <v>70</v>
      </c>
      <c r="E1203" s="60"/>
    </row>
    <row r="1204" spans="1:5">
      <c r="A1204" s="60" t="s">
        <v>1337</v>
      </c>
      <c r="B1204" s="61" t="s">
        <v>1331</v>
      </c>
      <c r="C1204" s="61" t="s">
        <v>1333</v>
      </c>
      <c r="D1204" s="63">
        <v>77</v>
      </c>
      <c r="E1204" s="60"/>
    </row>
    <row r="1205" spans="1:5">
      <c r="A1205" s="60" t="s">
        <v>1337</v>
      </c>
      <c r="B1205" s="61" t="s">
        <v>1334</v>
      </c>
      <c r="C1205" s="61" t="s">
        <v>1335</v>
      </c>
      <c r="D1205" s="63">
        <v>76</v>
      </c>
      <c r="E1205" s="60"/>
    </row>
    <row r="1206" spans="1:5">
      <c r="A1206" s="60" t="s">
        <v>1337</v>
      </c>
      <c r="B1206" s="61" t="s">
        <v>1334</v>
      </c>
      <c r="C1206" s="61" t="s">
        <v>1336</v>
      </c>
      <c r="D1206" s="63">
        <v>65</v>
      </c>
      <c r="E1206" s="60"/>
    </row>
    <row r="1207" spans="1:5">
      <c r="A1207" s="1" t="s">
        <v>881</v>
      </c>
      <c r="B1207" s="26"/>
      <c r="C1207" s="26" t="s">
        <v>857</v>
      </c>
      <c r="D1207" s="5">
        <v>80</v>
      </c>
      <c r="E1207" s="5">
        <v>52</v>
      </c>
    </row>
    <row r="1208" spans="1:5">
      <c r="A1208" s="1" t="s">
        <v>881</v>
      </c>
      <c r="B1208" s="26"/>
      <c r="C1208" s="26" t="s">
        <v>858</v>
      </c>
      <c r="D1208" s="5">
        <v>120</v>
      </c>
      <c r="E1208" s="5">
        <v>94</v>
      </c>
    </row>
    <row r="1209" spans="1:5">
      <c r="A1209" s="1" t="s">
        <v>881</v>
      </c>
      <c r="B1209" s="26"/>
      <c r="C1209" s="26" t="s">
        <v>859</v>
      </c>
      <c r="D1209" s="5">
        <v>40</v>
      </c>
      <c r="E1209" s="5">
        <v>40</v>
      </c>
    </row>
    <row r="1210" spans="1:5">
      <c r="A1210" s="1" t="s">
        <v>881</v>
      </c>
      <c r="B1210" s="26"/>
      <c r="C1210" s="26" t="s">
        <v>860</v>
      </c>
      <c r="D1210" s="5">
        <v>43</v>
      </c>
      <c r="E1210" s="5">
        <v>25</v>
      </c>
    </row>
    <row r="1211" spans="1:5">
      <c r="A1211" s="1" t="s">
        <v>881</v>
      </c>
      <c r="B1211" s="26"/>
      <c r="C1211" s="26" t="s">
        <v>861</v>
      </c>
      <c r="D1211" s="5">
        <v>80</v>
      </c>
      <c r="E1211" s="5">
        <v>48</v>
      </c>
    </row>
    <row r="1212" spans="1:5">
      <c r="A1212" s="1" t="s">
        <v>881</v>
      </c>
      <c r="B1212" s="26"/>
      <c r="C1212" s="26" t="s">
        <v>862</v>
      </c>
      <c r="D1212" s="5">
        <v>45</v>
      </c>
      <c r="E1212" s="5">
        <v>36</v>
      </c>
    </row>
    <row r="1213" spans="1:5">
      <c r="A1213" s="1" t="s">
        <v>881</v>
      </c>
      <c r="B1213" s="26"/>
      <c r="C1213" s="26" t="s">
        <v>863</v>
      </c>
      <c r="D1213" s="5">
        <v>300</v>
      </c>
      <c r="E1213" s="5">
        <v>97</v>
      </c>
    </row>
    <row r="1214" spans="1:5">
      <c r="A1214" s="1" t="s">
        <v>881</v>
      </c>
      <c r="B1214" s="26"/>
      <c r="C1214" s="26" t="s">
        <v>864</v>
      </c>
      <c r="D1214" s="5">
        <v>77.5</v>
      </c>
      <c r="E1214" s="5">
        <v>80</v>
      </c>
    </row>
    <row r="1215" spans="1:5">
      <c r="A1215" s="1" t="s">
        <v>881</v>
      </c>
      <c r="B1215" s="26"/>
      <c r="C1215" s="26" t="s">
        <v>865</v>
      </c>
      <c r="D1215" s="5">
        <v>35</v>
      </c>
      <c r="E1215" s="5">
        <v>32</v>
      </c>
    </row>
    <row r="1216" spans="1:5">
      <c r="A1216" s="1" t="s">
        <v>881</v>
      </c>
      <c r="B1216" s="26"/>
      <c r="C1216" s="26" t="s">
        <v>478</v>
      </c>
      <c r="D1216" s="5">
        <v>37.5</v>
      </c>
      <c r="E1216" s="5">
        <v>41</v>
      </c>
    </row>
    <row r="1217" spans="1:5">
      <c r="A1217" s="1" t="s">
        <v>881</v>
      </c>
      <c r="B1217" s="26"/>
      <c r="C1217" s="26" t="s">
        <v>866</v>
      </c>
      <c r="D1217" s="5">
        <v>40</v>
      </c>
      <c r="E1217" s="5">
        <v>50</v>
      </c>
    </row>
    <row r="1218" spans="1:5">
      <c r="A1218" s="1" t="s">
        <v>881</v>
      </c>
      <c r="B1218" s="26"/>
      <c r="C1218" s="26" t="s">
        <v>867</v>
      </c>
      <c r="D1218" s="5">
        <v>15</v>
      </c>
      <c r="E1218" s="5">
        <v>15</v>
      </c>
    </row>
    <row r="1219" spans="1:5">
      <c r="A1219" s="1" t="s">
        <v>881</v>
      </c>
      <c r="B1219" s="26"/>
      <c r="C1219" s="26" t="s">
        <v>868</v>
      </c>
      <c r="D1219" s="5">
        <v>24</v>
      </c>
      <c r="E1219" s="5">
        <v>12</v>
      </c>
    </row>
    <row r="1220" spans="1:5">
      <c r="A1220" s="1" t="s">
        <v>881</v>
      </c>
      <c r="B1220" s="26"/>
      <c r="C1220" s="26" t="s">
        <v>869</v>
      </c>
      <c r="D1220" s="5">
        <v>384</v>
      </c>
      <c r="E1220" s="5">
        <v>51</v>
      </c>
    </row>
    <row r="1221" spans="1:5">
      <c r="A1221" s="1" t="s">
        <v>881</v>
      </c>
      <c r="B1221" s="26"/>
      <c r="C1221" s="26" t="s">
        <v>870</v>
      </c>
      <c r="D1221" s="5">
        <v>501</v>
      </c>
      <c r="E1221" s="5">
        <v>96</v>
      </c>
    </row>
    <row r="1222" spans="1:5">
      <c r="A1222" s="1" t="s">
        <v>881</v>
      </c>
      <c r="B1222" s="26"/>
      <c r="C1222" s="26" t="s">
        <v>871</v>
      </c>
      <c r="D1222" s="5">
        <v>115</v>
      </c>
      <c r="E1222" s="5">
        <v>25</v>
      </c>
    </row>
    <row r="1223" spans="1:5">
      <c r="A1223" s="1" t="s">
        <v>881</v>
      </c>
      <c r="B1223" s="26"/>
      <c r="C1223" s="26" t="s">
        <v>871</v>
      </c>
      <c r="D1223" s="5">
        <v>110</v>
      </c>
      <c r="E1223" s="5">
        <v>23</v>
      </c>
    </row>
    <row r="1224" spans="1:5">
      <c r="A1224" s="1" t="s">
        <v>881</v>
      </c>
      <c r="B1224" s="26"/>
      <c r="C1224" s="26" t="s">
        <v>871</v>
      </c>
      <c r="D1224" s="5">
        <v>38</v>
      </c>
      <c r="E1224" s="5">
        <v>14</v>
      </c>
    </row>
    <row r="1225" spans="1:5">
      <c r="A1225" s="1" t="s">
        <v>881</v>
      </c>
      <c r="B1225" s="26"/>
      <c r="C1225" s="26" t="s">
        <v>872</v>
      </c>
      <c r="D1225" s="5">
        <v>105</v>
      </c>
      <c r="E1225" s="5">
        <v>22</v>
      </c>
    </row>
    <row r="1226" spans="1:5">
      <c r="A1226" s="1" t="s">
        <v>881</v>
      </c>
      <c r="B1226" s="26"/>
      <c r="C1226" s="26" t="s">
        <v>872</v>
      </c>
      <c r="D1226" s="5">
        <v>44</v>
      </c>
      <c r="E1226" s="5">
        <v>27</v>
      </c>
    </row>
    <row r="1227" spans="1:5">
      <c r="A1227" s="1" t="s">
        <v>881</v>
      </c>
      <c r="B1227" s="26"/>
      <c r="C1227" s="26" t="s">
        <v>873</v>
      </c>
      <c r="D1227" s="5">
        <v>30</v>
      </c>
      <c r="E1227" s="5">
        <v>45</v>
      </c>
    </row>
    <row r="1228" spans="1:5">
      <c r="A1228" s="1" t="s">
        <v>881</v>
      </c>
      <c r="B1228" s="26"/>
      <c r="C1228" s="26" t="s">
        <v>874</v>
      </c>
      <c r="D1228" s="5">
        <v>30</v>
      </c>
      <c r="E1228" s="5">
        <v>26</v>
      </c>
    </row>
    <row r="1229" spans="1:5">
      <c r="A1229" s="1" t="s">
        <v>881</v>
      </c>
      <c r="B1229" s="26"/>
      <c r="C1229" s="26" t="s">
        <v>875</v>
      </c>
      <c r="D1229" s="5">
        <v>35</v>
      </c>
      <c r="E1229" s="5">
        <v>31</v>
      </c>
    </row>
    <row r="1230" spans="1:5">
      <c r="A1230" s="1" t="s">
        <v>881</v>
      </c>
      <c r="B1230" s="26"/>
      <c r="C1230" s="26" t="s">
        <v>443</v>
      </c>
      <c r="D1230" s="5">
        <v>45</v>
      </c>
      <c r="E1230" s="5">
        <v>24</v>
      </c>
    </row>
    <row r="1231" spans="1:5">
      <c r="A1231" s="1" t="s">
        <v>881</v>
      </c>
      <c r="B1231" s="26"/>
      <c r="C1231" s="26" t="s">
        <v>876</v>
      </c>
      <c r="D1231" s="5">
        <v>43</v>
      </c>
      <c r="E1231" s="5">
        <v>21</v>
      </c>
    </row>
    <row r="1232" spans="1:5">
      <c r="A1232" s="1" t="s">
        <v>881</v>
      </c>
      <c r="B1232" s="26"/>
      <c r="C1232" s="26" t="s">
        <v>877</v>
      </c>
      <c r="D1232" s="5">
        <v>30</v>
      </c>
      <c r="E1232" s="5">
        <v>45</v>
      </c>
    </row>
    <row r="1233" spans="1:5">
      <c r="A1233" s="1" t="s">
        <v>881</v>
      </c>
      <c r="B1233" s="26"/>
      <c r="C1233" s="26" t="s">
        <v>878</v>
      </c>
      <c r="D1233" s="5">
        <v>60</v>
      </c>
      <c r="E1233" s="5">
        <v>40</v>
      </c>
    </row>
    <row r="1234" spans="1:5">
      <c r="A1234" s="1" t="s">
        <v>881</v>
      </c>
      <c r="B1234" s="26"/>
      <c r="C1234" s="26" t="s">
        <v>879</v>
      </c>
      <c r="D1234" s="5">
        <v>47</v>
      </c>
      <c r="E1234" s="5">
        <v>15</v>
      </c>
    </row>
    <row r="1235" spans="1:5">
      <c r="A1235" s="1" t="s">
        <v>881</v>
      </c>
      <c r="B1235" s="26"/>
      <c r="C1235" s="26" t="s">
        <v>880</v>
      </c>
      <c r="D1235" s="5">
        <v>35</v>
      </c>
      <c r="E1235" s="5">
        <v>35</v>
      </c>
    </row>
    <row r="1236" spans="1:5">
      <c r="A1236" s="1" t="s">
        <v>881</v>
      </c>
      <c r="B1236" s="26"/>
      <c r="C1236" s="26" t="s">
        <v>428</v>
      </c>
      <c r="D1236" s="5">
        <v>20</v>
      </c>
      <c r="E1236" s="5">
        <v>34</v>
      </c>
    </row>
  </sheetData>
  <autoFilter ref="A1:E1206"/>
  <mergeCells count="4">
    <mergeCell ref="D807:E807"/>
    <mergeCell ref="C773:C774"/>
    <mergeCell ref="D805:E805"/>
    <mergeCell ref="D806:E806"/>
  </mergeCells>
  <conditionalFormatting sqref="C333">
    <cfRule type="iconSet" priority="5">
      <iconSet>
        <cfvo type="percent" val="0"/>
        <cfvo type="num" val="41244"/>
        <cfvo type="num" val="41244"/>
      </iconSet>
    </cfRule>
  </conditionalFormatting>
  <conditionalFormatting sqref="E330:E367">
    <cfRule type="colorScale" priority="3">
      <colorScale>
        <cfvo type="num" val="#REF!"/>
        <cfvo type="num" val="#REF!"/>
        <color rgb="FFFF0000"/>
        <color rgb="FF008A3E"/>
      </colorScale>
    </cfRule>
    <cfRule type="colorScale" priority="4">
      <colorScale>
        <cfvo type="num" val="$8:$12+#REF!"/>
        <cfvo type="max"/>
        <color rgb="FFFF7128"/>
        <color rgb="FFFFEF9C"/>
      </colorScale>
    </cfRule>
  </conditionalFormatting>
  <conditionalFormatting sqref="D330:D367">
    <cfRule type="colorScale" priority="1">
      <colorScale>
        <cfvo type="num" val="#REF!"/>
        <cfvo type="num" val="#REF!"/>
        <color rgb="FFFF0000"/>
        <color rgb="FF008A3E"/>
      </colorScale>
    </cfRule>
    <cfRule type="colorScale" priority="2">
      <colorScale>
        <cfvo type="num" val="$8:$12+#REF!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 Mnedla</dc:creator>
  <cp:lastModifiedBy>user</cp:lastModifiedBy>
  <dcterms:created xsi:type="dcterms:W3CDTF">2018-05-04T12:53:43Z</dcterms:created>
  <dcterms:modified xsi:type="dcterms:W3CDTF">2019-07-02T09:46:56Z</dcterms:modified>
</cp:coreProperties>
</file>