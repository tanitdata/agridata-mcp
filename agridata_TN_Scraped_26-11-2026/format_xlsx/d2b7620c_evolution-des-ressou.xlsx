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Zaghouan\2025\"/>
    </mc:Choice>
  </mc:AlternateContent>
  <bookViews>
    <workbookView showHorizontalScroll="0" showVerticalScroll="0" showSheetTabs="0" xWindow="0" yWindow="0" windowWidth="28800" windowHeight="12210" tabRatio="925"/>
  </bookViews>
  <sheets>
    <sheet name="Agric4" sheetId="426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Agric4!$A$1:$F$19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F19" i="426" l="1"/>
  <c r="E19" i="426"/>
  <c r="D19" i="426"/>
  <c r="F13" i="426"/>
  <c r="E13" i="426"/>
  <c r="D13" i="426"/>
  <c r="F7" i="426"/>
  <c r="E7" i="426"/>
  <c r="D7" i="426"/>
</calcChain>
</file>

<file path=xl/sharedStrings.xml><?xml version="1.0" encoding="utf-8"?>
<sst xmlns="http://schemas.openxmlformats.org/spreadsheetml/2006/main" count="43" uniqueCount="19">
  <si>
    <t xml:space="preserve">المجموع       </t>
  </si>
  <si>
    <t>الزريبة</t>
  </si>
  <si>
    <t>بئر مشارقة</t>
  </si>
  <si>
    <t>الفحص</t>
  </si>
  <si>
    <t>زغوان</t>
  </si>
  <si>
    <t>الناظور-صواف</t>
  </si>
  <si>
    <t>Année</t>
  </si>
  <si>
    <t>Nbre de puits</t>
  </si>
  <si>
    <t>Ressources (Mm3 )</t>
  </si>
  <si>
    <t>Exploitation (Mm3)</t>
  </si>
  <si>
    <t>EL FAHS</t>
  </si>
  <si>
    <r>
      <t>BI</t>
    </r>
    <r>
      <rPr>
        <sz val="10"/>
        <rFont val="Times New Roman"/>
        <family val="1"/>
      </rPr>
      <t>R M’CHERGUA</t>
    </r>
  </si>
  <si>
    <t>ZRIBA</t>
  </si>
  <si>
    <t>ZAGHOUAN</t>
  </si>
  <si>
    <t>ENNADHOUR-SAOUAF</t>
  </si>
  <si>
    <t xml:space="preserve">Total    </t>
  </si>
  <si>
    <t>Nom de la nappe_fr</t>
  </si>
  <si>
    <t>Nom de la nappe_ar</t>
  </si>
  <si>
    <t xml:space="preserve">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</si>
</sst>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sz val="8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92">
    <xf numFmtId="0" fontId="0" fillId="0" borderId="0"/>
    <xf numFmtId="44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9" fillId="0" borderId="0" applyFont="0" applyFill="0" applyBorder="0" applyAlignment="0" applyProtection="0"/>
    <xf numFmtId="0" fontId="23" fillId="0" borderId="0"/>
    <xf numFmtId="0" fontId="12" fillId="0" borderId="0"/>
    <xf numFmtId="0" fontId="23" fillId="0" borderId="0"/>
    <xf numFmtId="0" fontId="23" fillId="0" borderId="0"/>
    <xf numFmtId="0" fontId="11" fillId="0" borderId="0"/>
    <xf numFmtId="0" fontId="10" fillId="0" borderId="0"/>
    <xf numFmtId="0" fontId="9" fillId="0" borderId="0"/>
    <xf numFmtId="0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2" borderId="0" applyAlignment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0" fontId="29" fillId="0" borderId="0"/>
  </cellStyleXfs>
  <cellXfs count="23">
    <xf numFmtId="0" fontId="0" fillId="0" borderId="0" xfId="0"/>
    <xf numFmtId="0" fontId="20" fillId="0" borderId="0" xfId="782" applyFill="1"/>
    <xf numFmtId="0" fontId="20" fillId="0" borderId="0" xfId="782"/>
    <xf numFmtId="0" fontId="20" fillId="0" borderId="0" xfId="782" applyFill="1" applyBorder="1"/>
    <xf numFmtId="0" fontId="25" fillId="0" borderId="1" xfId="0" applyFont="1" applyBorder="1" applyAlignment="1">
      <alignment horizontal="center" vertical="top" wrapText="1"/>
    </xf>
    <xf numFmtId="0" fontId="1" fillId="0" borderId="0" xfId="782" applyFont="1"/>
    <xf numFmtId="0" fontId="25" fillId="0" borderId="1" xfId="0" applyFont="1" applyBorder="1" applyAlignment="1">
      <alignment vertical="top" wrapText="1"/>
    </xf>
    <xf numFmtId="0" fontId="25" fillId="0" borderId="1" xfId="0" applyFont="1" applyBorder="1" applyAlignment="1">
      <alignment horizontal="right" vertical="top" wrapText="1"/>
    </xf>
    <xf numFmtId="0" fontId="31" fillId="0" borderId="1" xfId="0" applyFont="1" applyBorder="1" applyAlignment="1">
      <alignment vertical="top" wrapText="1"/>
    </xf>
    <xf numFmtId="0" fontId="32" fillId="0" borderId="1" xfId="782" applyFont="1" applyBorder="1"/>
    <xf numFmtId="0" fontId="32" fillId="0" borderId="1" xfId="782" applyFont="1" applyFill="1" applyBorder="1"/>
    <xf numFmtId="0" fontId="32" fillId="0" borderId="1" xfId="782" applyFont="1" applyFill="1" applyBorder="1" applyAlignment="1">
      <alignment horizontal="left"/>
    </xf>
    <xf numFmtId="0" fontId="33" fillId="0" borderId="1" xfId="782" applyFont="1" applyFill="1" applyBorder="1" applyAlignment="1">
      <alignment horizontal="left" vertical="center"/>
    </xf>
    <xf numFmtId="0" fontId="33" fillId="0" borderId="1" xfId="782" applyFont="1" applyFill="1" applyBorder="1" applyAlignment="1">
      <alignment horizontal="right" vertical="center"/>
    </xf>
    <xf numFmtId="0" fontId="33" fillId="0" borderId="1" xfId="0" applyFont="1" applyFill="1" applyBorder="1" applyAlignment="1">
      <alignment horizontal="center" vertical="center"/>
    </xf>
    <xf numFmtId="0" fontId="32" fillId="0" borderId="3" xfId="782" applyFont="1" applyFill="1" applyBorder="1" applyAlignment="1">
      <alignment horizontal="left"/>
    </xf>
    <xf numFmtId="0" fontId="25" fillId="0" borderId="3" xfId="0" applyFont="1" applyBorder="1" applyAlignment="1">
      <alignment vertical="top" wrapText="1"/>
    </xf>
    <xf numFmtId="0" fontId="25" fillId="0" borderId="3" xfId="0" applyFont="1" applyBorder="1" applyAlignment="1">
      <alignment horizontal="right" vertical="top" wrapText="1"/>
    </xf>
    <xf numFmtId="0" fontId="25" fillId="0" borderId="3" xfId="0" applyFont="1" applyBorder="1" applyAlignment="1">
      <alignment horizontal="center" vertical="top" wrapText="1"/>
    </xf>
    <xf numFmtId="0" fontId="32" fillId="0" borderId="2" xfId="782" applyFont="1" applyFill="1" applyBorder="1" applyAlignment="1">
      <alignment horizontal="left"/>
    </xf>
    <xf numFmtId="0" fontId="33" fillId="0" borderId="2" xfId="782" applyFont="1" applyFill="1" applyBorder="1" applyAlignment="1">
      <alignment horizontal="left" vertical="center"/>
    </xf>
    <xf numFmtId="0" fontId="33" fillId="0" borderId="2" xfId="782" applyFont="1" applyFill="1" applyBorder="1" applyAlignment="1">
      <alignment horizontal="right" vertical="center"/>
    </xf>
    <xf numFmtId="0" fontId="33" fillId="0" borderId="2" xfId="0" applyFont="1" applyFill="1" applyBorder="1" applyAlignment="1">
      <alignment horizontal="center" vertical="center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G20"/>
  <sheetViews>
    <sheetView tabSelected="1" view="pageBreakPreview" zoomScaleNormal="77" zoomScaleSheetLayoutView="100" workbookViewId="0">
      <selection activeCell="E25" sqref="E25"/>
    </sheetView>
  </sheetViews>
  <sheetFormatPr baseColWidth="10" defaultColWidth="11.42578125" defaultRowHeight="15" x14ac:dyDescent="0.25"/>
  <cols>
    <col min="1" max="1" width="11.42578125" style="2"/>
    <col min="2" max="2" width="19.85546875" style="2" customWidth="1"/>
    <col min="3" max="3" width="22" style="1" customWidth="1"/>
    <col min="4" max="4" width="19.7109375" style="1" customWidth="1"/>
    <col min="5" max="5" width="20.7109375" style="1" bestFit="1" customWidth="1"/>
    <col min="6" max="6" width="23.42578125" style="1" customWidth="1"/>
    <col min="7" max="16384" width="11.42578125" style="2"/>
  </cols>
  <sheetData>
    <row r="1" spans="1:7" s="1" customFormat="1" ht="20.25" customHeight="1" x14ac:dyDescent="0.25">
      <c r="A1" s="9" t="s">
        <v>6</v>
      </c>
      <c r="B1" s="10" t="s">
        <v>16</v>
      </c>
      <c r="C1" s="10" t="s">
        <v>17</v>
      </c>
      <c r="D1" s="10" t="s">
        <v>7</v>
      </c>
      <c r="E1" s="10" t="s">
        <v>8</v>
      </c>
      <c r="F1" s="10" t="s">
        <v>9</v>
      </c>
    </row>
    <row r="2" spans="1:7" ht="24" customHeight="1" x14ac:dyDescent="0.25">
      <c r="A2" s="11">
        <v>2021</v>
      </c>
      <c r="B2" s="6" t="s">
        <v>10</v>
      </c>
      <c r="C2" s="7" t="s">
        <v>3</v>
      </c>
      <c r="D2" s="4">
        <v>189</v>
      </c>
      <c r="E2" s="4">
        <v>9.3699999999999992</v>
      </c>
      <c r="F2" s="4">
        <v>11.06</v>
      </c>
    </row>
    <row r="3" spans="1:7" ht="24" customHeight="1" x14ac:dyDescent="0.25">
      <c r="A3" s="11">
        <v>2021</v>
      </c>
      <c r="B3" s="6" t="s">
        <v>11</v>
      </c>
      <c r="C3" s="7" t="s">
        <v>2</v>
      </c>
      <c r="D3" s="4">
        <v>159</v>
      </c>
      <c r="E3" s="4">
        <v>7.7</v>
      </c>
      <c r="F3" s="4">
        <v>5.36</v>
      </c>
    </row>
    <row r="4" spans="1:7" ht="24" customHeight="1" x14ac:dyDescent="0.25">
      <c r="A4" s="11">
        <v>2021</v>
      </c>
      <c r="B4" s="6" t="s">
        <v>12</v>
      </c>
      <c r="C4" s="7" t="s">
        <v>1</v>
      </c>
      <c r="D4" s="4">
        <v>86</v>
      </c>
      <c r="E4" s="4">
        <v>2.9</v>
      </c>
      <c r="F4" s="4">
        <v>1.67</v>
      </c>
    </row>
    <row r="5" spans="1:7" ht="24" customHeight="1" x14ac:dyDescent="0.25">
      <c r="A5" s="11">
        <v>2021</v>
      </c>
      <c r="B5" s="6" t="s">
        <v>13</v>
      </c>
      <c r="C5" s="7" t="s">
        <v>4</v>
      </c>
      <c r="D5" s="4">
        <v>260</v>
      </c>
      <c r="E5" s="4">
        <v>9.08</v>
      </c>
      <c r="F5" s="4">
        <v>12.08</v>
      </c>
    </row>
    <row r="6" spans="1:7" ht="24" customHeight="1" x14ac:dyDescent="0.25">
      <c r="A6" s="11">
        <v>2021</v>
      </c>
      <c r="B6" s="8" t="s">
        <v>14</v>
      </c>
      <c r="C6" s="7" t="s">
        <v>5</v>
      </c>
      <c r="D6" s="4">
        <v>627</v>
      </c>
      <c r="E6" s="4">
        <v>8</v>
      </c>
      <c r="F6" s="4">
        <v>19.420000000000002</v>
      </c>
    </row>
    <row r="7" spans="1:7" ht="24" customHeight="1" thickBot="1" x14ac:dyDescent="0.3">
      <c r="A7" s="19">
        <v>2021</v>
      </c>
      <c r="B7" s="20" t="s">
        <v>15</v>
      </c>
      <c r="C7" s="21" t="s">
        <v>0</v>
      </c>
      <c r="D7" s="22">
        <f t="shared" ref="D7:F7" si="0">SUM(D2:D6)</f>
        <v>1321</v>
      </c>
      <c r="E7" s="22">
        <f t="shared" si="0"/>
        <v>37.049999999999997</v>
      </c>
      <c r="F7" s="22">
        <f t="shared" si="0"/>
        <v>49.59</v>
      </c>
    </row>
    <row r="8" spans="1:7" ht="24" customHeight="1" x14ac:dyDescent="0.25">
      <c r="A8" s="15">
        <v>2022</v>
      </c>
      <c r="B8" s="16" t="s">
        <v>10</v>
      </c>
      <c r="C8" s="17" t="s">
        <v>3</v>
      </c>
      <c r="D8" s="18">
        <v>193</v>
      </c>
      <c r="E8" s="18">
        <v>9.3699999999999992</v>
      </c>
      <c r="F8" s="18">
        <v>12.91</v>
      </c>
    </row>
    <row r="9" spans="1:7" ht="24" customHeight="1" x14ac:dyDescent="0.25">
      <c r="A9" s="11">
        <v>2022</v>
      </c>
      <c r="B9" s="6" t="s">
        <v>11</v>
      </c>
      <c r="C9" s="7" t="s">
        <v>2</v>
      </c>
      <c r="D9" s="4">
        <v>160</v>
      </c>
      <c r="E9" s="4">
        <v>11.7</v>
      </c>
      <c r="F9" s="4">
        <v>6.26</v>
      </c>
    </row>
    <row r="10" spans="1:7" ht="24" customHeight="1" x14ac:dyDescent="0.25">
      <c r="A10" s="11">
        <v>2022</v>
      </c>
      <c r="B10" s="6" t="s">
        <v>12</v>
      </c>
      <c r="C10" s="7" t="s">
        <v>1</v>
      </c>
      <c r="D10" s="4">
        <v>87</v>
      </c>
      <c r="E10" s="4">
        <v>2.9</v>
      </c>
      <c r="F10" s="4">
        <v>1.66</v>
      </c>
    </row>
    <row r="11" spans="1:7" ht="24" customHeight="1" x14ac:dyDescent="0.25">
      <c r="A11" s="11">
        <v>2022</v>
      </c>
      <c r="B11" s="6" t="s">
        <v>13</v>
      </c>
      <c r="C11" s="7" t="s">
        <v>4</v>
      </c>
      <c r="D11" s="4">
        <v>261</v>
      </c>
      <c r="E11" s="4">
        <v>9.08</v>
      </c>
      <c r="F11" s="4">
        <v>12.8</v>
      </c>
    </row>
    <row r="12" spans="1:7" ht="24" customHeight="1" x14ac:dyDescent="0.25">
      <c r="A12" s="11">
        <v>2022</v>
      </c>
      <c r="B12" s="8" t="s">
        <v>14</v>
      </c>
      <c r="C12" s="7" t="s">
        <v>5</v>
      </c>
      <c r="D12" s="4">
        <v>646</v>
      </c>
      <c r="E12" s="4">
        <v>8</v>
      </c>
      <c r="F12" s="4">
        <v>19.82</v>
      </c>
    </row>
    <row r="13" spans="1:7" ht="24" customHeight="1" thickBot="1" x14ac:dyDescent="0.3">
      <c r="A13" s="19">
        <v>2022</v>
      </c>
      <c r="B13" s="20" t="s">
        <v>15</v>
      </c>
      <c r="C13" s="21" t="s">
        <v>0</v>
      </c>
      <c r="D13" s="22">
        <f>SUM(D8:D12)</f>
        <v>1347</v>
      </c>
      <c r="E13" s="22">
        <f>SUM(E8:E12)</f>
        <v>41.05</v>
      </c>
      <c r="F13" s="22">
        <f>SUM(F8:F12)</f>
        <v>53.45</v>
      </c>
    </row>
    <row r="14" spans="1:7" ht="24" customHeight="1" x14ac:dyDescent="0.25">
      <c r="A14" s="15">
        <v>2023</v>
      </c>
      <c r="B14" s="16" t="s">
        <v>10</v>
      </c>
      <c r="C14" s="17" t="s">
        <v>3</v>
      </c>
      <c r="D14" s="18">
        <v>196</v>
      </c>
      <c r="E14" s="18">
        <v>9.3699999999999992</v>
      </c>
      <c r="F14" s="18">
        <v>11.18</v>
      </c>
    </row>
    <row r="15" spans="1:7" ht="21" customHeight="1" x14ac:dyDescent="0.25">
      <c r="A15" s="11">
        <v>2023</v>
      </c>
      <c r="B15" s="6" t="s">
        <v>11</v>
      </c>
      <c r="C15" s="7" t="s">
        <v>2</v>
      </c>
      <c r="D15" s="4">
        <v>163</v>
      </c>
      <c r="E15" s="4">
        <v>11.7</v>
      </c>
      <c r="F15" s="4">
        <v>6.11</v>
      </c>
    </row>
    <row r="16" spans="1:7" ht="21" customHeight="1" x14ac:dyDescent="0.25">
      <c r="A16" s="11">
        <v>2023</v>
      </c>
      <c r="B16" s="6" t="s">
        <v>12</v>
      </c>
      <c r="C16" s="7" t="s">
        <v>1</v>
      </c>
      <c r="D16" s="4">
        <v>90</v>
      </c>
      <c r="E16" s="4">
        <v>2.9</v>
      </c>
      <c r="F16" s="4">
        <v>1.2</v>
      </c>
      <c r="G16" s="5" t="s">
        <v>18</v>
      </c>
    </row>
    <row r="17" spans="1:6" ht="21" customHeight="1" x14ac:dyDescent="0.25">
      <c r="A17" s="11">
        <v>2023</v>
      </c>
      <c r="B17" s="6" t="s">
        <v>13</v>
      </c>
      <c r="C17" s="7" t="s">
        <v>4</v>
      </c>
      <c r="D17" s="4">
        <v>268</v>
      </c>
      <c r="E17" s="4">
        <v>9.08</v>
      </c>
      <c r="F17" s="4">
        <v>10.82</v>
      </c>
    </row>
    <row r="18" spans="1:6" ht="21" customHeight="1" x14ac:dyDescent="0.25">
      <c r="A18" s="11">
        <v>2023</v>
      </c>
      <c r="B18" s="8" t="s">
        <v>14</v>
      </c>
      <c r="C18" s="7" t="s">
        <v>5</v>
      </c>
      <c r="D18" s="4">
        <v>646</v>
      </c>
      <c r="E18" s="4">
        <v>8</v>
      </c>
      <c r="F18" s="4">
        <v>18.68</v>
      </c>
    </row>
    <row r="19" spans="1:6" ht="21" customHeight="1" x14ac:dyDescent="0.25">
      <c r="A19" s="11">
        <v>2023</v>
      </c>
      <c r="B19" s="12" t="s">
        <v>15</v>
      </c>
      <c r="C19" s="13" t="s">
        <v>0</v>
      </c>
      <c r="D19" s="14">
        <f>SUM(D14:D18)</f>
        <v>1363</v>
      </c>
      <c r="E19" s="14">
        <f t="shared" ref="E19" si="1">SUM(E14:E18)</f>
        <v>41.05</v>
      </c>
      <c r="F19" s="14">
        <f>SUM(F14:F18)</f>
        <v>47.989999999999995</v>
      </c>
    </row>
    <row r="20" spans="1:6" ht="21" customHeight="1" x14ac:dyDescent="0.25">
      <c r="C20" s="3"/>
      <c r="D20" s="3"/>
      <c r="E20" s="3"/>
      <c r="F20" s="3"/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Agric4</vt:lpstr>
      <vt:lpstr>Agric4!Zone_d_impression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2025-04-23T10:48:44Z</dcterms:modified>
</cp:coreProperties>
</file>