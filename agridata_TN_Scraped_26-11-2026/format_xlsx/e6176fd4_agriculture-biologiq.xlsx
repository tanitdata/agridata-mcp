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8_{D91E0D47-9052-4B6E-A804-708344D571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1" i="1" l="1"/>
  <c r="D51" i="1"/>
  <c r="C51" i="1"/>
  <c r="E41" i="1"/>
  <c r="D41" i="1"/>
  <c r="C41" i="1"/>
  <c r="E31" i="1" l="1"/>
  <c r="D31" i="1"/>
  <c r="C31" i="1"/>
  <c r="H21" i="1"/>
  <c r="G21" i="1"/>
  <c r="E21" i="1"/>
  <c r="D21" i="1"/>
  <c r="C21" i="1"/>
  <c r="I11" i="1"/>
  <c r="H11" i="1"/>
  <c r="G11" i="1"/>
  <c r="F11" i="1"/>
  <c r="E11" i="1"/>
  <c r="D11" i="1"/>
  <c r="C11" i="1"/>
</calcChain>
</file>

<file path=xl/sharedStrings.xml><?xml version="1.0" encoding="utf-8"?>
<sst xmlns="http://schemas.openxmlformats.org/spreadsheetml/2006/main" count="172" uniqueCount="66">
  <si>
    <t>باجة الشمالية</t>
  </si>
  <si>
    <t>باجة الجنوبية</t>
  </si>
  <si>
    <t>مجاز الباب</t>
  </si>
  <si>
    <t>قبلاط</t>
  </si>
  <si>
    <t>تستور</t>
  </si>
  <si>
    <t>تبرسق</t>
  </si>
  <si>
    <t>تيبار</t>
  </si>
  <si>
    <t>عمدون</t>
  </si>
  <si>
    <t>نفزة</t>
  </si>
  <si>
    <t>كامل الولاية</t>
  </si>
  <si>
    <t xml:space="preserve">     10 مراعي  </t>
  </si>
  <si>
    <t xml:space="preserve"> 35 زراعات كبري</t>
  </si>
  <si>
    <t>200 نباتات طبية و عطرية</t>
  </si>
  <si>
    <t>20 لتر زيت</t>
  </si>
  <si>
    <t>141 توابل +  و 392 مراعي</t>
  </si>
  <si>
    <t>218 مراعي</t>
  </si>
  <si>
    <t>35 لتر زيت</t>
  </si>
  <si>
    <t>9105 هك غابات لتقطير الزيوت الطبية و العطرية                        156 بيت نحل</t>
  </si>
  <si>
    <t xml:space="preserve">60 لتر زيوت             300 كلغ    عسل </t>
  </si>
  <si>
    <t>105 لتر                    300 كلغ عسل</t>
  </si>
  <si>
    <t>7 طن زيت</t>
  </si>
  <si>
    <t>30 طن زيت</t>
  </si>
  <si>
    <t xml:space="preserve"> 35 زراعات كبرى</t>
  </si>
  <si>
    <t>50 طن زيت</t>
  </si>
  <si>
    <t>30 لتر زيت</t>
  </si>
  <si>
    <t>104 زراعات كبري و توابل (18 هك)</t>
  </si>
  <si>
    <t>70طن زيت</t>
  </si>
  <si>
    <t>100 طن</t>
  </si>
  <si>
    <t>150 طن</t>
  </si>
  <si>
    <t>9842هك غابات لتقطير الزيوت الطبية و العطرية , 16 هك زراعات كبرى     56 بيت نحل</t>
  </si>
  <si>
    <t xml:space="preserve">110 لتر زيوت           448 كلغ  عسل        </t>
  </si>
  <si>
    <t>157 طن</t>
  </si>
  <si>
    <t>250 طن</t>
  </si>
  <si>
    <t>175 لتر                    448 كلغ عسل</t>
  </si>
  <si>
    <t>23 طن زيت</t>
  </si>
  <si>
    <t>42 طن زيت</t>
  </si>
  <si>
    <t>12 طن زيت</t>
  </si>
  <si>
    <t>57 طن زيت</t>
  </si>
  <si>
    <t>1000 طن</t>
  </si>
  <si>
    <t>6 طن زيت</t>
  </si>
  <si>
    <t>93 طن زيت</t>
  </si>
  <si>
    <t>-</t>
  </si>
  <si>
    <t xml:space="preserve">100 لتر زيوت           150 كلغ         </t>
  </si>
  <si>
    <t>9890                   56 بيت نحل</t>
  </si>
  <si>
    <t>233 طن</t>
  </si>
  <si>
    <t>1150 طن</t>
  </si>
  <si>
    <t>2019/2020</t>
  </si>
  <si>
    <t>2020/2021</t>
  </si>
  <si>
    <t>2021/2022</t>
  </si>
  <si>
    <t>2022/2023</t>
  </si>
  <si>
    <t>Campagne agricole</t>
  </si>
  <si>
    <t>Délégation</t>
  </si>
  <si>
    <t>Superficie cible selon le plan régional (ha)</t>
  </si>
  <si>
    <t xml:space="preserve">Superficie actuelle d'olivier (ha) </t>
  </si>
  <si>
    <t>Superficie actuelle d'arboriculture  (ha)</t>
  </si>
  <si>
    <t>Production d'oliviers (tonne d'huile)</t>
  </si>
  <si>
    <t>Production de fruits (tonne)</t>
  </si>
  <si>
    <t>Superficie Autres (ha)</t>
  </si>
  <si>
    <t>Production Autre (litre d'huiles végétales aromatiques)</t>
  </si>
  <si>
    <t>9834هك غابات لتقطير الزيوت الطبية و العطرية , 16 هك ز.ك     60 بيت نحل</t>
  </si>
  <si>
    <t xml:space="preserve">200 لتر زيوت           150 كلغ         </t>
  </si>
  <si>
    <t>9912                   60 بيت نحل</t>
  </si>
  <si>
    <t>598,4 طن</t>
  </si>
  <si>
    <t xml:space="preserve">175 لتر زيوت           300 كلغ         </t>
  </si>
  <si>
    <t>2023/2024</t>
  </si>
  <si>
    <t xml:space="preserve">10 زراعات كبرى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</si>
</sst>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6"/>
      <name val="Traditional Arabic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readingOrder="2"/>
    </xf>
    <xf numFmtId="0" fontId="2" fillId="0" borderId="1" xfId="0" applyFont="1" applyBorder="1" applyAlignment="1">
      <alignment horizontal="right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/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center" readingOrder="2"/>
    </xf>
    <xf numFmtId="0" fontId="2" fillId="0" borderId="1" xfId="0" applyFont="1" applyBorder="1" applyAlignment="1">
      <alignment horizontal="right" readingOrder="2"/>
    </xf>
    <xf numFmtId="0" fontId="2" fillId="0" borderId="1" xfId="0" applyFont="1" applyBorder="1" applyAlignment="1">
      <alignment horizontal="right" wrapText="1" readingOrder="2"/>
    </xf>
    <xf numFmtId="0" fontId="2" fillId="0" borderId="1" xfId="0" applyFont="1" applyFill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readingOrder="2"/>
    </xf>
    <xf numFmtId="0" fontId="2" fillId="2" borderId="1" xfId="0" applyFont="1" applyFill="1" applyBorder="1" applyAlignment="1"/>
    <xf numFmtId="1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 readingOrder="2"/>
    </xf>
    <xf numFmtId="0" fontId="2" fillId="2" borderId="1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2" borderId="1" xfId="0" applyFont="1" applyFill="1" applyBorder="1" applyAlignment="1">
      <alignment horizontal="right" vertical="center" wrapText="1" readingOrder="2"/>
    </xf>
    <xf numFmtId="1" fontId="2" fillId="2" borderId="1" xfId="0" applyNumberFormat="1" applyFont="1" applyFill="1" applyBorder="1" applyAlignment="1">
      <alignment horizontal="center" vertical="center"/>
    </xf>
    <xf numFmtId="0" fontId="3" fillId="0" borderId="5" xfId="0" applyFont="1" applyBorder="1"/>
    <xf numFmtId="0" fontId="3" fillId="2" borderId="1" xfId="0" applyFont="1" applyFill="1" applyBorder="1" applyAlignment="1">
      <alignment horizontal="center" readingOrder="2"/>
    </xf>
    <xf numFmtId="0" fontId="3" fillId="0" borderId="1" xfId="0" applyFont="1" applyBorder="1" applyAlignment="1">
      <alignment horizontal="center" readingOrder="2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vertical="center"/>
    </xf>
    <xf numFmtId="0" fontId="3" fillId="2" borderId="10" xfId="0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12" xfId="0" applyFont="1" applyBorder="1"/>
    <xf numFmtId="0" fontId="3" fillId="2" borderId="10" xfId="0" applyFont="1" applyFill="1" applyBorder="1" applyAlignment="1">
      <alignment horizontal="center" readingOrder="2"/>
    </xf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right"/>
    </xf>
    <xf numFmtId="0" fontId="3" fillId="0" borderId="13" xfId="0" applyFont="1" applyBorder="1" applyAlignment="1">
      <alignment horizontal="right" readingOrder="2"/>
    </xf>
    <xf numFmtId="0" fontId="3" fillId="0" borderId="5" xfId="0" applyFont="1" applyBorder="1" applyAlignment="1">
      <alignment horizontal="right" vertical="center"/>
    </xf>
    <xf numFmtId="0" fontId="3" fillId="0" borderId="12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readingOrder="2"/>
    </xf>
    <xf numFmtId="0" fontId="3" fillId="2" borderId="13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2" borderId="3" xfId="0" applyFont="1" applyFill="1" applyBorder="1" applyAlignment="1">
      <alignment horizontal="right" vertical="center" wrapText="1" readingOrder="2"/>
    </xf>
    <xf numFmtId="0" fontId="3" fillId="0" borderId="3" xfId="0" applyFont="1" applyBorder="1" applyAlignment="1">
      <alignment horizontal="center" vertical="center" readingOrder="2"/>
    </xf>
    <xf numFmtId="0" fontId="3" fillId="0" borderId="14" xfId="0" applyFont="1" applyBorder="1" applyAlignment="1">
      <alignment horizontal="center" vertical="center"/>
    </xf>
    <xf numFmtId="0" fontId="3" fillId="0" borderId="11" xfId="0" applyFont="1" applyBorder="1" applyAlignment="1">
      <alignment horizontal="right" vertical="center" wrapText="1" readingOrder="2"/>
    </xf>
    <xf numFmtId="0" fontId="3" fillId="0" borderId="15" xfId="0" applyFont="1" applyBorder="1" applyAlignment="1">
      <alignment vertical="center"/>
    </xf>
    <xf numFmtId="0" fontId="3" fillId="2" borderId="16" xfId="0" applyFont="1" applyFill="1" applyBorder="1" applyAlignment="1">
      <alignment horizontal="right" vertical="center" wrapText="1" readingOrder="2"/>
    </xf>
    <xf numFmtId="0" fontId="3" fillId="0" borderId="16" xfId="0" applyFont="1" applyBorder="1" applyAlignment="1">
      <alignment horizontal="center" vertical="center" readingOrder="2"/>
    </xf>
    <xf numFmtId="0" fontId="3" fillId="2" borderId="4" xfId="0" applyFont="1" applyFill="1" applyBorder="1" applyAlignment="1">
      <alignment horizontal="right" wrapText="1" readingOrder="2"/>
    </xf>
    <xf numFmtId="0" fontId="1" fillId="0" borderId="7" xfId="0" applyFont="1" applyBorder="1"/>
    <xf numFmtId="0" fontId="2" fillId="0" borderId="7" xfId="0" applyFont="1" applyBorder="1"/>
    <xf numFmtId="0" fontId="2" fillId="2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Fill="1" applyBorder="1"/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pane xSplit="1" ySplit="1" topLeftCell="B35" activePane="bottomRight" state="frozen"/>
      <selection pane="topRight" activeCell="B1" sqref="B1"/>
      <selection pane="bottomLeft" activeCell="A2" sqref="A2"/>
      <selection pane="bottomRight" activeCell="I62" sqref="I62"/>
    </sheetView>
  </sheetViews>
  <sheetFormatPr baseColWidth="10" defaultColWidth="9.140625" defaultRowHeight="15" x14ac:dyDescent="0.25"/>
  <cols>
    <col min="1" max="1" width="14.42578125" customWidth="1"/>
    <col min="2" max="2" width="14.7109375" customWidth="1"/>
    <col min="3" max="3" width="28.7109375" customWidth="1"/>
    <col min="4" max="4" width="28.5703125" customWidth="1"/>
    <col min="5" max="5" width="27.85546875" customWidth="1"/>
    <col min="6" max="6" width="40" customWidth="1"/>
    <col min="7" max="7" width="17.28515625" customWidth="1"/>
    <col min="8" max="8" width="17.85546875" customWidth="1"/>
    <col min="9" max="9" width="25.5703125" customWidth="1"/>
  </cols>
  <sheetData>
    <row r="1" spans="1:9" ht="48" thickBot="1" x14ac:dyDescent="0.3">
      <c r="A1" s="61" t="s">
        <v>50</v>
      </c>
      <c r="B1" s="62" t="s">
        <v>51</v>
      </c>
      <c r="C1" s="62" t="s">
        <v>52</v>
      </c>
      <c r="D1" s="63" t="s">
        <v>53</v>
      </c>
      <c r="E1" s="63" t="s">
        <v>54</v>
      </c>
      <c r="F1" s="61" t="s">
        <v>57</v>
      </c>
      <c r="G1" s="61" t="s">
        <v>55</v>
      </c>
      <c r="H1" s="63" t="s">
        <v>56</v>
      </c>
      <c r="I1" s="61" t="s">
        <v>58</v>
      </c>
    </row>
    <row r="2" spans="1:9" ht="29.25" customHeight="1" x14ac:dyDescent="0.25">
      <c r="A2" s="57" t="s">
        <v>46</v>
      </c>
      <c r="B2" s="58" t="s">
        <v>0</v>
      </c>
      <c r="C2" s="59">
        <v>10</v>
      </c>
      <c r="D2" s="60">
        <v>10</v>
      </c>
      <c r="E2" s="60"/>
      <c r="F2" s="60"/>
      <c r="G2" s="60">
        <v>13</v>
      </c>
      <c r="H2" s="60"/>
      <c r="I2" s="60"/>
    </row>
    <row r="3" spans="1:9" ht="29.25" customHeight="1" x14ac:dyDescent="0.25">
      <c r="A3" s="1" t="s">
        <v>46</v>
      </c>
      <c r="B3" s="7" t="s">
        <v>1</v>
      </c>
      <c r="C3" s="8">
        <v>400</v>
      </c>
      <c r="D3" s="3">
        <v>347</v>
      </c>
      <c r="E3" s="2"/>
      <c r="F3" s="6"/>
      <c r="G3" s="3">
        <v>70</v>
      </c>
      <c r="H3" s="2"/>
      <c r="I3" s="6"/>
    </row>
    <row r="4" spans="1:9" ht="29.25" customHeight="1" x14ac:dyDescent="0.25">
      <c r="A4" s="1" t="s">
        <v>46</v>
      </c>
      <c r="B4" s="4" t="s">
        <v>2</v>
      </c>
      <c r="C4" s="5">
        <v>700</v>
      </c>
      <c r="D4" s="6">
        <v>659</v>
      </c>
      <c r="E4" s="6">
        <v>6</v>
      </c>
      <c r="F4" s="9">
        <v>35</v>
      </c>
      <c r="G4" s="6">
        <v>100</v>
      </c>
      <c r="H4" s="6"/>
      <c r="I4" s="6"/>
    </row>
    <row r="5" spans="1:9" ht="29.25" customHeight="1" x14ac:dyDescent="0.25">
      <c r="A5" s="1" t="s">
        <v>46</v>
      </c>
      <c r="B5" s="4" t="s">
        <v>3</v>
      </c>
      <c r="C5" s="5">
        <v>566.5</v>
      </c>
      <c r="D5" s="6">
        <v>366.5</v>
      </c>
      <c r="E5" s="6"/>
      <c r="F5" s="9">
        <v>200</v>
      </c>
      <c r="G5" s="5"/>
      <c r="H5" s="6"/>
      <c r="I5" s="9">
        <v>30</v>
      </c>
    </row>
    <row r="6" spans="1:9" ht="29.25" customHeight="1" x14ac:dyDescent="0.25">
      <c r="A6" s="1" t="s">
        <v>46</v>
      </c>
      <c r="B6" s="10" t="s">
        <v>4</v>
      </c>
      <c r="C6" s="5">
        <v>1131</v>
      </c>
      <c r="D6" s="6">
        <v>833</v>
      </c>
      <c r="E6" s="6">
        <v>242</v>
      </c>
      <c r="F6" s="6">
        <v>104</v>
      </c>
      <c r="G6" s="6">
        <v>150</v>
      </c>
      <c r="H6" s="6">
        <v>1250</v>
      </c>
      <c r="I6" s="6"/>
    </row>
    <row r="7" spans="1:9" ht="29.25" customHeight="1" x14ac:dyDescent="0.25">
      <c r="A7" s="1" t="s">
        <v>46</v>
      </c>
      <c r="B7" s="4" t="s">
        <v>5</v>
      </c>
      <c r="C7" s="5"/>
      <c r="D7" s="6"/>
      <c r="E7" s="6"/>
      <c r="F7" s="6"/>
      <c r="G7" s="6"/>
      <c r="H7" s="6"/>
      <c r="I7" s="6"/>
    </row>
    <row r="8" spans="1:9" ht="29.25" customHeight="1" x14ac:dyDescent="0.25">
      <c r="A8" s="1" t="s">
        <v>46</v>
      </c>
      <c r="B8" s="4" t="s">
        <v>6</v>
      </c>
      <c r="C8" s="11">
        <v>2984</v>
      </c>
      <c r="D8" s="6">
        <v>2784</v>
      </c>
      <c r="E8" s="6">
        <v>200</v>
      </c>
      <c r="F8" s="6"/>
      <c r="G8" s="6"/>
      <c r="H8" s="6">
        <v>400</v>
      </c>
      <c r="I8" s="6"/>
    </row>
    <row r="9" spans="1:9" ht="29.25" customHeight="1" x14ac:dyDescent="0.25">
      <c r="A9" s="1" t="s">
        <v>46</v>
      </c>
      <c r="B9" s="4" t="s">
        <v>7</v>
      </c>
      <c r="C9" s="11"/>
      <c r="D9" s="6"/>
      <c r="E9" s="6"/>
      <c r="F9" s="6"/>
      <c r="G9" s="6"/>
      <c r="H9" s="6"/>
      <c r="I9" s="6"/>
    </row>
    <row r="10" spans="1:9" ht="29.25" customHeight="1" x14ac:dyDescent="0.25">
      <c r="A10" s="1" t="s">
        <v>46</v>
      </c>
      <c r="B10" s="4" t="s">
        <v>8</v>
      </c>
      <c r="C10" s="12">
        <v>9837.5</v>
      </c>
      <c r="D10" s="3"/>
      <c r="E10" s="3"/>
      <c r="F10" s="6">
        <v>9842</v>
      </c>
      <c r="G10" s="6"/>
      <c r="H10" s="6"/>
      <c r="I10" s="6">
        <v>145</v>
      </c>
    </row>
    <row r="11" spans="1:9" ht="29.25" customHeight="1" x14ac:dyDescent="0.25">
      <c r="A11" s="1" t="s">
        <v>46</v>
      </c>
      <c r="B11" s="4" t="s">
        <v>9</v>
      </c>
      <c r="C11" s="6">
        <f>SUM(C2:C10)</f>
        <v>15629</v>
      </c>
      <c r="D11" s="6">
        <f>SUM(D2:D10)</f>
        <v>4999.5</v>
      </c>
      <c r="E11" s="6">
        <f>SUM(E2:E10)</f>
        <v>448</v>
      </c>
      <c r="F11" s="6">
        <f>SUM(F4:F10)</f>
        <v>10181</v>
      </c>
      <c r="G11" s="6">
        <f>SUM(G2:G10:G10)</f>
        <v>333</v>
      </c>
      <c r="H11" s="6">
        <f>SUM(H3:H10)</f>
        <v>1650</v>
      </c>
      <c r="I11" s="6">
        <f>SUM(I3:I10)</f>
        <v>175</v>
      </c>
    </row>
    <row r="12" spans="1:9" ht="29.25" customHeight="1" x14ac:dyDescent="0.25">
      <c r="A12" s="13" t="s">
        <v>47</v>
      </c>
      <c r="B12" s="4" t="s">
        <v>0</v>
      </c>
      <c r="C12" s="5">
        <v>20</v>
      </c>
      <c r="D12" s="6">
        <v>10</v>
      </c>
      <c r="E12" s="6"/>
      <c r="F12" s="9" t="s">
        <v>10</v>
      </c>
      <c r="G12" s="9">
        <v>2</v>
      </c>
      <c r="H12" s="6"/>
      <c r="I12" s="14"/>
    </row>
    <row r="13" spans="1:9" ht="29.25" customHeight="1" x14ac:dyDescent="0.25">
      <c r="A13" s="13" t="s">
        <v>47</v>
      </c>
      <c r="B13" s="7" t="s">
        <v>1</v>
      </c>
      <c r="C13" s="8">
        <v>400</v>
      </c>
      <c r="D13" s="3">
        <v>336</v>
      </c>
      <c r="E13" s="2"/>
      <c r="F13" s="6"/>
      <c r="G13" s="9">
        <v>8</v>
      </c>
      <c r="H13" s="2"/>
      <c r="I13" s="14"/>
    </row>
    <row r="14" spans="1:9" ht="29.25" customHeight="1" x14ac:dyDescent="0.25">
      <c r="A14" s="13" t="s">
        <v>47</v>
      </c>
      <c r="B14" s="4" t="s">
        <v>2</v>
      </c>
      <c r="C14" s="5">
        <v>735</v>
      </c>
      <c r="D14" s="6">
        <v>618.5</v>
      </c>
      <c r="E14" s="6">
        <v>6</v>
      </c>
      <c r="F14" s="15" t="s">
        <v>11</v>
      </c>
      <c r="G14" s="9">
        <v>12</v>
      </c>
      <c r="H14" s="6"/>
      <c r="I14" s="14"/>
    </row>
    <row r="15" spans="1:9" ht="29.25" customHeight="1" x14ac:dyDescent="0.25">
      <c r="A15" s="13" t="s">
        <v>47</v>
      </c>
      <c r="B15" s="4" t="s">
        <v>3</v>
      </c>
      <c r="C15" s="5">
        <v>400</v>
      </c>
      <c r="D15" s="6">
        <v>139.5</v>
      </c>
      <c r="E15" s="6"/>
      <c r="F15" s="15" t="s">
        <v>12</v>
      </c>
      <c r="G15" s="9"/>
      <c r="H15" s="9"/>
      <c r="I15" s="16" t="s">
        <v>13</v>
      </c>
    </row>
    <row r="16" spans="1:9" ht="29.25" customHeight="1" x14ac:dyDescent="0.25">
      <c r="A16" s="13" t="s">
        <v>47</v>
      </c>
      <c r="B16" s="10" t="s">
        <v>4</v>
      </c>
      <c r="C16" s="5">
        <v>2046</v>
      </c>
      <c r="D16" s="6">
        <v>1217</v>
      </c>
      <c r="E16" s="6">
        <v>242</v>
      </c>
      <c r="F16" s="15" t="s">
        <v>14</v>
      </c>
      <c r="G16" s="9">
        <v>23</v>
      </c>
      <c r="H16" s="9">
        <v>65</v>
      </c>
      <c r="I16" s="14"/>
    </row>
    <row r="17" spans="1:9" ht="29.25" customHeight="1" x14ac:dyDescent="0.25">
      <c r="A17" s="13" t="s">
        <v>47</v>
      </c>
      <c r="B17" s="4" t="s">
        <v>5</v>
      </c>
      <c r="C17" s="5">
        <v>277</v>
      </c>
      <c r="D17" s="6">
        <v>150</v>
      </c>
      <c r="E17" s="6"/>
      <c r="F17" s="9"/>
      <c r="G17" s="9"/>
      <c r="H17" s="6"/>
      <c r="I17" s="14"/>
    </row>
    <row r="18" spans="1:9" ht="29.25" customHeight="1" x14ac:dyDescent="0.25">
      <c r="A18" s="13" t="s">
        <v>47</v>
      </c>
      <c r="B18" s="4" t="s">
        <v>6</v>
      </c>
      <c r="C18" s="11">
        <v>3449.5</v>
      </c>
      <c r="D18" s="6">
        <v>3031.5</v>
      </c>
      <c r="E18" s="6">
        <v>200</v>
      </c>
      <c r="F18" s="9" t="s">
        <v>15</v>
      </c>
      <c r="G18" s="9"/>
      <c r="H18" s="6">
        <v>40</v>
      </c>
      <c r="I18" s="14"/>
    </row>
    <row r="19" spans="1:9" ht="29.25" customHeight="1" x14ac:dyDescent="0.25">
      <c r="A19" s="13" t="s">
        <v>47</v>
      </c>
      <c r="B19" s="4" t="s">
        <v>7</v>
      </c>
      <c r="C19" s="11">
        <v>500</v>
      </c>
      <c r="D19" s="6"/>
      <c r="E19" s="6"/>
      <c r="F19" s="9">
        <v>489</v>
      </c>
      <c r="G19" s="9"/>
      <c r="H19" s="6"/>
      <c r="I19" s="14" t="s">
        <v>16</v>
      </c>
    </row>
    <row r="20" spans="1:9" ht="29.25" customHeight="1" x14ac:dyDescent="0.25">
      <c r="A20" s="13" t="s">
        <v>47</v>
      </c>
      <c r="B20" s="4" t="s">
        <v>8</v>
      </c>
      <c r="C20" s="12">
        <v>9105</v>
      </c>
      <c r="D20" s="3"/>
      <c r="E20" s="3"/>
      <c r="F20" s="17" t="s">
        <v>17</v>
      </c>
      <c r="G20" s="9"/>
      <c r="H20" s="6"/>
      <c r="I20" s="17" t="s">
        <v>18</v>
      </c>
    </row>
    <row r="21" spans="1:9" ht="29.25" customHeight="1" x14ac:dyDescent="0.25">
      <c r="A21" s="13" t="s">
        <v>47</v>
      </c>
      <c r="B21" s="7" t="s">
        <v>9</v>
      </c>
      <c r="C21" s="3">
        <f>SUM(C12:C20)</f>
        <v>16932.5</v>
      </c>
      <c r="D21" s="3">
        <f>SUM(D12:D20)</f>
        <v>5502.5</v>
      </c>
      <c r="E21" s="3">
        <f>SUM(E12:E20)</f>
        <v>448</v>
      </c>
      <c r="F21" s="18">
        <v>10590</v>
      </c>
      <c r="G21" s="19">
        <f>SUM(G12:G20)</f>
        <v>45</v>
      </c>
      <c r="H21" s="19">
        <f>SUM(H12:H20)</f>
        <v>105</v>
      </c>
      <c r="I21" s="17" t="s">
        <v>19</v>
      </c>
    </row>
    <row r="22" spans="1:9" ht="29.25" customHeight="1" x14ac:dyDescent="0.25">
      <c r="A22" s="1" t="s">
        <v>48</v>
      </c>
      <c r="B22" s="4" t="s">
        <v>0</v>
      </c>
      <c r="C22" s="5">
        <v>20</v>
      </c>
      <c r="D22" s="5">
        <v>10</v>
      </c>
      <c r="E22" s="5"/>
      <c r="F22" s="15"/>
      <c r="G22" s="9" t="s">
        <v>20</v>
      </c>
      <c r="H22" s="6"/>
      <c r="I22" s="14"/>
    </row>
    <row r="23" spans="1:9" ht="29.25" customHeight="1" x14ac:dyDescent="0.25">
      <c r="A23" s="1" t="s">
        <v>48</v>
      </c>
      <c r="B23" s="7" t="s">
        <v>1</v>
      </c>
      <c r="C23" s="8">
        <v>400</v>
      </c>
      <c r="D23" s="8">
        <v>347</v>
      </c>
      <c r="E23" s="20"/>
      <c r="F23" s="5"/>
      <c r="G23" s="9" t="s">
        <v>21</v>
      </c>
      <c r="H23" s="2"/>
      <c r="I23" s="14"/>
    </row>
    <row r="24" spans="1:9" ht="29.25" customHeight="1" x14ac:dyDescent="0.25">
      <c r="A24" s="1" t="s">
        <v>48</v>
      </c>
      <c r="B24" s="4" t="s">
        <v>2</v>
      </c>
      <c r="C24" s="5">
        <v>730</v>
      </c>
      <c r="D24" s="5">
        <v>659</v>
      </c>
      <c r="E24" s="5">
        <v>6</v>
      </c>
      <c r="F24" s="15" t="s">
        <v>22</v>
      </c>
      <c r="G24" s="9" t="s">
        <v>23</v>
      </c>
      <c r="H24" s="6"/>
      <c r="I24" s="14"/>
    </row>
    <row r="25" spans="1:9" ht="29.25" customHeight="1" x14ac:dyDescent="0.25">
      <c r="A25" s="1" t="s">
        <v>48</v>
      </c>
      <c r="B25" s="4" t="s">
        <v>3</v>
      </c>
      <c r="C25" s="5">
        <v>400</v>
      </c>
      <c r="D25" s="21">
        <v>366.5</v>
      </c>
      <c r="E25" s="5"/>
      <c r="F25" s="15">
        <v>200</v>
      </c>
      <c r="G25" s="9"/>
      <c r="H25" s="9"/>
      <c r="I25" s="16" t="s">
        <v>24</v>
      </c>
    </row>
    <row r="26" spans="1:9" ht="29.25" customHeight="1" x14ac:dyDescent="0.25">
      <c r="A26" s="1" t="s">
        <v>48</v>
      </c>
      <c r="B26" s="10" t="s">
        <v>4</v>
      </c>
      <c r="C26" s="5">
        <v>2000</v>
      </c>
      <c r="D26" s="5">
        <v>833</v>
      </c>
      <c r="E26" s="5">
        <v>242</v>
      </c>
      <c r="F26" s="22" t="s">
        <v>25</v>
      </c>
      <c r="G26" s="9" t="s">
        <v>26</v>
      </c>
      <c r="H26" s="9" t="s">
        <v>27</v>
      </c>
      <c r="I26" s="14"/>
    </row>
    <row r="27" spans="1:9" ht="29.25" customHeight="1" x14ac:dyDescent="0.25">
      <c r="A27" s="1" t="s">
        <v>48</v>
      </c>
      <c r="B27" s="4" t="s">
        <v>5</v>
      </c>
      <c r="C27" s="5">
        <v>300</v>
      </c>
      <c r="D27" s="5"/>
      <c r="E27" s="5"/>
      <c r="F27" s="15"/>
      <c r="G27" s="9"/>
      <c r="H27" s="6"/>
      <c r="I27" s="14"/>
    </row>
    <row r="28" spans="1:9" ht="29.25" customHeight="1" x14ac:dyDescent="0.25">
      <c r="A28" s="1" t="s">
        <v>48</v>
      </c>
      <c r="B28" s="4" t="s">
        <v>6</v>
      </c>
      <c r="C28" s="5">
        <v>3450</v>
      </c>
      <c r="D28" s="5">
        <v>2784</v>
      </c>
      <c r="E28" s="5">
        <v>200</v>
      </c>
      <c r="F28" s="15"/>
      <c r="G28" s="9"/>
      <c r="H28" s="9" t="s">
        <v>28</v>
      </c>
      <c r="I28" s="14"/>
    </row>
    <row r="29" spans="1:9" ht="29.25" customHeight="1" x14ac:dyDescent="0.25">
      <c r="A29" s="1" t="s">
        <v>48</v>
      </c>
      <c r="B29" s="7" t="s">
        <v>7</v>
      </c>
      <c r="C29" s="8">
        <v>500</v>
      </c>
      <c r="D29" s="8"/>
      <c r="E29" s="8"/>
      <c r="F29" s="23">
        <v>500</v>
      </c>
      <c r="G29" s="23"/>
      <c r="H29" s="8"/>
      <c r="I29" s="24" t="s">
        <v>16</v>
      </c>
    </row>
    <row r="30" spans="1:9" ht="29.25" customHeight="1" x14ac:dyDescent="0.25">
      <c r="A30" s="1" t="s">
        <v>48</v>
      </c>
      <c r="B30" s="4" t="s">
        <v>8</v>
      </c>
      <c r="C30" s="8">
        <v>9100</v>
      </c>
      <c r="D30" s="8"/>
      <c r="E30" s="8"/>
      <c r="F30" s="25" t="s">
        <v>29</v>
      </c>
      <c r="G30" s="9"/>
      <c r="H30" s="6"/>
      <c r="I30" s="17" t="s">
        <v>30</v>
      </c>
    </row>
    <row r="31" spans="1:9" ht="29.25" customHeight="1" x14ac:dyDescent="0.25">
      <c r="A31" s="1" t="s">
        <v>48</v>
      </c>
      <c r="B31" s="7" t="s">
        <v>9</v>
      </c>
      <c r="C31" s="8">
        <f>SUM(C22:C30)</f>
        <v>16900</v>
      </c>
      <c r="D31" s="8">
        <f>SUM(D22:D30)</f>
        <v>4999.5</v>
      </c>
      <c r="E31" s="8">
        <f>SUM(E22:E30)</f>
        <v>448</v>
      </c>
      <c r="F31" s="26">
        <v>10715</v>
      </c>
      <c r="G31" s="19" t="s">
        <v>31</v>
      </c>
      <c r="H31" s="19" t="s">
        <v>32</v>
      </c>
      <c r="I31" s="27" t="s">
        <v>33</v>
      </c>
    </row>
    <row r="32" spans="1:9" ht="29.25" customHeight="1" x14ac:dyDescent="0.25">
      <c r="A32" s="13" t="s">
        <v>49</v>
      </c>
      <c r="B32" s="4" t="s">
        <v>0</v>
      </c>
      <c r="C32" s="5">
        <v>10</v>
      </c>
      <c r="D32" s="5">
        <v>10</v>
      </c>
      <c r="E32" s="5"/>
      <c r="F32" s="15"/>
      <c r="G32" s="9"/>
      <c r="H32" s="6"/>
      <c r="I32" s="14"/>
    </row>
    <row r="33" spans="1:9" ht="29.25" customHeight="1" x14ac:dyDescent="0.25">
      <c r="A33" s="13" t="s">
        <v>49</v>
      </c>
      <c r="B33" s="7" t="s">
        <v>1</v>
      </c>
      <c r="C33" s="8">
        <v>400</v>
      </c>
      <c r="D33" s="8">
        <v>336</v>
      </c>
      <c r="E33" s="20"/>
      <c r="F33" s="5"/>
      <c r="G33" s="9" t="s">
        <v>34</v>
      </c>
      <c r="H33" s="2"/>
      <c r="I33" s="14"/>
    </row>
    <row r="34" spans="1:9" ht="29.25" customHeight="1" x14ac:dyDescent="0.25">
      <c r="A34" s="13" t="s">
        <v>49</v>
      </c>
      <c r="B34" s="4" t="s">
        <v>2</v>
      </c>
      <c r="C34" s="5">
        <v>700</v>
      </c>
      <c r="D34" s="5">
        <v>496</v>
      </c>
      <c r="E34" s="5">
        <v>6</v>
      </c>
      <c r="F34" s="15" t="s">
        <v>22</v>
      </c>
      <c r="G34" s="9" t="s">
        <v>35</v>
      </c>
      <c r="H34" s="6"/>
      <c r="I34" s="14"/>
    </row>
    <row r="35" spans="1:9" ht="29.25" customHeight="1" x14ac:dyDescent="0.25">
      <c r="A35" s="13" t="s">
        <v>49</v>
      </c>
      <c r="B35" s="4" t="s">
        <v>3</v>
      </c>
      <c r="C35" s="5">
        <v>566.5</v>
      </c>
      <c r="D35" s="21">
        <v>150</v>
      </c>
      <c r="E35" s="5"/>
      <c r="F35" s="15">
        <v>200</v>
      </c>
      <c r="G35" s="9" t="s">
        <v>36</v>
      </c>
      <c r="H35" s="9"/>
      <c r="I35" s="16"/>
    </row>
    <row r="36" spans="1:9" ht="29.25" customHeight="1" x14ac:dyDescent="0.25">
      <c r="A36" s="13" t="s">
        <v>49</v>
      </c>
      <c r="B36" s="10" t="s">
        <v>4</v>
      </c>
      <c r="C36" s="5">
        <v>1131</v>
      </c>
      <c r="D36" s="5">
        <v>944</v>
      </c>
      <c r="E36" s="5">
        <v>242</v>
      </c>
      <c r="F36" s="15" t="s">
        <v>65</v>
      </c>
      <c r="G36" s="9" t="s">
        <v>37</v>
      </c>
      <c r="H36" s="9" t="s">
        <v>38</v>
      </c>
      <c r="I36" s="14"/>
    </row>
    <row r="37" spans="1:9" ht="29.25" customHeight="1" x14ac:dyDescent="0.25">
      <c r="A37" s="13" t="s">
        <v>49</v>
      </c>
      <c r="B37" s="4" t="s">
        <v>5</v>
      </c>
      <c r="C37" s="5">
        <v>120</v>
      </c>
      <c r="D37" s="5">
        <v>100</v>
      </c>
      <c r="E37" s="5"/>
      <c r="F37" s="15"/>
      <c r="G37" s="9" t="s">
        <v>39</v>
      </c>
      <c r="H37" s="6"/>
      <c r="I37" s="14"/>
    </row>
    <row r="38" spans="1:9" ht="29.25" customHeight="1" x14ac:dyDescent="0.25">
      <c r="A38" s="13" t="s">
        <v>49</v>
      </c>
      <c r="B38" s="4" t="s">
        <v>6</v>
      </c>
      <c r="C38" s="5">
        <v>2574</v>
      </c>
      <c r="D38" s="5">
        <v>2374</v>
      </c>
      <c r="E38" s="5">
        <v>200</v>
      </c>
      <c r="F38" s="15"/>
      <c r="G38" s="9" t="s">
        <v>40</v>
      </c>
      <c r="H38" s="6">
        <v>150</v>
      </c>
      <c r="I38" s="14"/>
    </row>
    <row r="39" spans="1:9" ht="29.25" customHeight="1" x14ac:dyDescent="0.25">
      <c r="A39" s="13" t="s">
        <v>49</v>
      </c>
      <c r="B39" s="7" t="s">
        <v>7</v>
      </c>
      <c r="C39" s="8" t="s">
        <v>41</v>
      </c>
      <c r="D39" s="8" t="s">
        <v>41</v>
      </c>
      <c r="E39" s="8" t="s">
        <v>41</v>
      </c>
      <c r="F39" s="23" t="s">
        <v>41</v>
      </c>
      <c r="G39" s="23" t="s">
        <v>41</v>
      </c>
      <c r="H39" s="23" t="s">
        <v>41</v>
      </c>
      <c r="I39" s="8" t="s">
        <v>41</v>
      </c>
    </row>
    <row r="40" spans="1:9" ht="29.25" customHeight="1" x14ac:dyDescent="0.25">
      <c r="A40" s="13" t="s">
        <v>49</v>
      </c>
      <c r="B40" s="7" t="s">
        <v>8</v>
      </c>
      <c r="C40" s="8">
        <v>9837.5</v>
      </c>
      <c r="D40" s="8"/>
      <c r="E40" s="8"/>
      <c r="F40" s="28" t="s">
        <v>29</v>
      </c>
      <c r="G40" s="19"/>
      <c r="H40" s="3"/>
      <c r="I40" s="27" t="s">
        <v>42</v>
      </c>
    </row>
    <row r="41" spans="1:9" ht="29.25" customHeight="1" x14ac:dyDescent="0.25">
      <c r="A41" s="13" t="s">
        <v>49</v>
      </c>
      <c r="B41" s="7" t="s">
        <v>9</v>
      </c>
      <c r="C41" s="8">
        <f>SUM(C32:C40)</f>
        <v>15339</v>
      </c>
      <c r="D41" s="29">
        <f>SUM(D32:D40)</f>
        <v>4410</v>
      </c>
      <c r="E41" s="8">
        <f>SUM(E32:E40)</f>
        <v>448</v>
      </c>
      <c r="F41" s="28" t="s">
        <v>43</v>
      </c>
      <c r="G41" s="19" t="s">
        <v>44</v>
      </c>
      <c r="H41" s="19" t="s">
        <v>45</v>
      </c>
      <c r="I41" s="17" t="s">
        <v>42</v>
      </c>
    </row>
    <row r="42" spans="1:9" ht="24.75" x14ac:dyDescent="0.6">
      <c r="A42" s="13" t="s">
        <v>64</v>
      </c>
      <c r="B42" s="30" t="s">
        <v>0</v>
      </c>
      <c r="C42" s="8">
        <v>10</v>
      </c>
      <c r="D42" s="8">
        <v>10</v>
      </c>
      <c r="E42" s="8"/>
      <c r="F42" s="31">
        <v>5</v>
      </c>
      <c r="G42" s="32">
        <v>1.2</v>
      </c>
      <c r="H42" s="33"/>
      <c r="I42" s="34">
        <v>7.5</v>
      </c>
    </row>
    <row r="43" spans="1:9" ht="24.75" x14ac:dyDescent="0.6">
      <c r="A43" s="13" t="s">
        <v>64</v>
      </c>
      <c r="B43" s="35" t="s">
        <v>1</v>
      </c>
      <c r="C43" s="8">
        <v>400</v>
      </c>
      <c r="D43" s="8">
        <v>350</v>
      </c>
      <c r="E43" s="8"/>
      <c r="F43" s="36"/>
      <c r="G43" s="32">
        <v>44</v>
      </c>
      <c r="H43" s="37"/>
      <c r="I43" s="38"/>
    </row>
    <row r="44" spans="1:9" ht="24.75" x14ac:dyDescent="0.6">
      <c r="A44" s="13" t="s">
        <v>64</v>
      </c>
      <c r="B44" s="39" t="s">
        <v>2</v>
      </c>
      <c r="C44" s="8">
        <v>700</v>
      </c>
      <c r="D44" s="8">
        <v>550</v>
      </c>
      <c r="E44" s="8">
        <v>6</v>
      </c>
      <c r="F44" s="40" t="s">
        <v>22</v>
      </c>
      <c r="G44" s="32">
        <v>74.400000000000006</v>
      </c>
      <c r="H44" s="41"/>
      <c r="I44" s="42"/>
    </row>
    <row r="45" spans="1:9" ht="24.75" x14ac:dyDescent="0.6">
      <c r="A45" s="13" t="s">
        <v>64</v>
      </c>
      <c r="B45" s="39" t="s">
        <v>3</v>
      </c>
      <c r="C45" s="8">
        <v>550</v>
      </c>
      <c r="D45" s="8">
        <v>200</v>
      </c>
      <c r="E45" s="8"/>
      <c r="F45" s="31">
        <v>12</v>
      </c>
      <c r="G45" s="32">
        <v>22.5</v>
      </c>
      <c r="H45" s="32"/>
      <c r="I45" s="43"/>
    </row>
    <row r="46" spans="1:9" ht="24.75" x14ac:dyDescent="0.6">
      <c r="A46" s="13" t="s">
        <v>64</v>
      </c>
      <c r="B46" s="44" t="s">
        <v>4</v>
      </c>
      <c r="C46" s="8">
        <v>1131</v>
      </c>
      <c r="D46" s="8">
        <v>950</v>
      </c>
      <c r="E46" s="8">
        <v>250</v>
      </c>
      <c r="F46" s="31" t="s">
        <v>65</v>
      </c>
      <c r="G46" s="32">
        <v>159.30000000000001</v>
      </c>
      <c r="H46" s="32" t="s">
        <v>38</v>
      </c>
      <c r="I46" s="34"/>
    </row>
    <row r="47" spans="1:9" ht="24.75" x14ac:dyDescent="0.6">
      <c r="A47" s="13" t="s">
        <v>64</v>
      </c>
      <c r="B47" s="39" t="s">
        <v>5</v>
      </c>
      <c r="C47" s="8">
        <v>150</v>
      </c>
      <c r="D47" s="8">
        <v>100</v>
      </c>
      <c r="E47" s="8"/>
      <c r="F47" s="31"/>
      <c r="G47" s="32">
        <v>12</v>
      </c>
      <c r="H47" s="41"/>
      <c r="I47" s="42"/>
    </row>
    <row r="48" spans="1:9" ht="24.75" x14ac:dyDescent="0.6">
      <c r="A48" s="13" t="s">
        <v>64</v>
      </c>
      <c r="B48" s="39" t="s">
        <v>6</v>
      </c>
      <c r="C48" s="8">
        <v>2984</v>
      </c>
      <c r="D48" s="8">
        <v>2374</v>
      </c>
      <c r="E48" s="8">
        <v>200</v>
      </c>
      <c r="F48" s="31"/>
      <c r="G48" s="32">
        <v>285</v>
      </c>
      <c r="H48" s="41">
        <v>150</v>
      </c>
      <c r="I48" s="42"/>
    </row>
    <row r="49" spans="1:9" ht="24.75" x14ac:dyDescent="0.25">
      <c r="A49" s="13" t="s">
        <v>64</v>
      </c>
      <c r="B49" s="45" t="s">
        <v>7</v>
      </c>
      <c r="C49" s="8" t="s">
        <v>41</v>
      </c>
      <c r="D49" s="8" t="s">
        <v>41</v>
      </c>
      <c r="E49" s="8" t="s">
        <v>41</v>
      </c>
      <c r="F49" s="46" t="s">
        <v>41</v>
      </c>
      <c r="G49" s="46" t="s">
        <v>41</v>
      </c>
      <c r="H49" s="46" t="s">
        <v>41</v>
      </c>
      <c r="I49" s="47" t="s">
        <v>41</v>
      </c>
    </row>
    <row r="50" spans="1:9" ht="22.5" customHeight="1" thickBot="1" x14ac:dyDescent="0.3">
      <c r="A50" s="13" t="s">
        <v>64</v>
      </c>
      <c r="B50" s="48" t="s">
        <v>8</v>
      </c>
      <c r="C50" s="8">
        <v>9850</v>
      </c>
      <c r="D50" s="8"/>
      <c r="E50" s="8"/>
      <c r="F50" s="49" t="s">
        <v>59</v>
      </c>
      <c r="G50" s="50"/>
      <c r="H50" s="51"/>
      <c r="I50" s="52" t="s">
        <v>60</v>
      </c>
    </row>
    <row r="51" spans="1:9" ht="26.25" customHeight="1" thickBot="1" x14ac:dyDescent="0.65">
      <c r="A51" s="64" t="s">
        <v>64</v>
      </c>
      <c r="B51" s="53" t="s">
        <v>9</v>
      </c>
      <c r="C51" s="65">
        <f>SUM(C42:C50)</f>
        <v>15775</v>
      </c>
      <c r="D51" s="65">
        <f>SUM(D42:D50)</f>
        <v>4534</v>
      </c>
      <c r="E51" s="65">
        <f>SUM(E42:E50)</f>
        <v>456</v>
      </c>
      <c r="F51" s="54" t="s">
        <v>61</v>
      </c>
      <c r="G51" s="55" t="s">
        <v>62</v>
      </c>
      <c r="H51" s="55" t="s">
        <v>45</v>
      </c>
      <c r="I51" s="56" t="s">
        <v>63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2025-11-24T08:29:20Z</dcterms:modified>
</cp:coreProperties>
</file>