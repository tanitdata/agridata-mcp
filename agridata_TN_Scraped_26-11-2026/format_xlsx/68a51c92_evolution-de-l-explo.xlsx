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8800" windowHeight="12210" tabRatio="925"/>
  </bookViews>
  <sheets>
    <sheet name="Agric1" sheetId="423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Agric1!$B$1:$F$8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F22" i="423" l="1"/>
  <c r="F15" i="423"/>
  <c r="E22" i="423"/>
  <c r="E15" i="423"/>
  <c r="D22" i="423"/>
  <c r="D15" i="423"/>
  <c r="C22" i="423"/>
  <c r="C15" i="423" l="1"/>
  <c r="F8" i="423" l="1"/>
  <c r="E8" i="423"/>
  <c r="C8" i="423"/>
</calcChain>
</file>

<file path=xl/sharedStrings.xml><?xml version="1.0" encoding="utf-8"?>
<sst xmlns="http://schemas.openxmlformats.org/spreadsheetml/2006/main" count="27" uniqueCount="13">
  <si>
    <t xml:space="preserve">المجموع  </t>
  </si>
  <si>
    <t>الزريبة</t>
  </si>
  <si>
    <t>بئر مشارقة</t>
  </si>
  <si>
    <t>الفحص</t>
  </si>
  <si>
    <t>الناظور</t>
  </si>
  <si>
    <t>صواف</t>
  </si>
  <si>
    <t>زغوان</t>
  </si>
  <si>
    <t>Délégation</t>
  </si>
  <si>
    <t xml:space="preserve"> Nombre de lacs</t>
  </si>
  <si>
    <t>Exploitation  (mille m3)</t>
  </si>
  <si>
    <t>Année</t>
  </si>
  <si>
    <t>Capacité de rétention (mille m3) après déduction des sédiments</t>
  </si>
  <si>
    <t>Reserve (mille m3) à la fin de l'année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</si>
</sst>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792">
    <xf numFmtId="0" fontId="0" fillId="0" borderId="0"/>
    <xf numFmtId="44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8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30" fillId="0" borderId="0" applyFont="0" applyFill="0" applyBorder="0" applyAlignment="0" applyProtection="0"/>
    <xf numFmtId="0" fontId="23" fillId="0" borderId="0"/>
    <xf numFmtId="0" fontId="11" fillId="0" borderId="0"/>
    <xf numFmtId="0" fontId="23" fillId="0" borderId="0"/>
    <xf numFmtId="0" fontId="23" fillId="0" borderId="0"/>
    <xf numFmtId="0" fontId="10" fillId="0" borderId="0"/>
    <xf numFmtId="0" fontId="9" fillId="0" borderId="0"/>
    <xf numFmtId="0" fontId="8" fillId="0" borderId="0"/>
    <xf numFmtId="0" fontId="2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30" fillId="0" borderId="0"/>
  </cellStyleXfs>
  <cellXfs count="25">
    <xf numFmtId="0" fontId="0" fillId="0" borderId="0" xfId="0"/>
    <xf numFmtId="0" fontId="20" fillId="0" borderId="0" xfId="782" applyFill="1"/>
    <xf numFmtId="0" fontId="20" fillId="0" borderId="0" xfId="782"/>
    <xf numFmtId="0" fontId="26" fillId="0" borderId="0" xfId="782" applyFont="1" applyFill="1"/>
    <xf numFmtId="0" fontId="20" fillId="2" borderId="0" xfId="782" applyFill="1"/>
    <xf numFmtId="0" fontId="15" fillId="2" borderId="0" xfId="782" applyFont="1" applyFill="1"/>
    <xf numFmtId="0" fontId="27" fillId="2" borderId="0" xfId="782" applyFont="1" applyFill="1" applyBorder="1" applyAlignment="1">
      <alignment horizontal="center"/>
    </xf>
    <xf numFmtId="0" fontId="27" fillId="2" borderId="0" xfId="782" applyFont="1" applyFill="1" applyAlignment="1">
      <alignment horizontal="center"/>
    </xf>
    <xf numFmtId="0" fontId="31" fillId="0" borderId="1" xfId="83" applyNumberFormat="1" applyFont="1" applyFill="1" applyBorder="1" applyAlignment="1">
      <alignment horizontal="right" vertical="center" indent="1"/>
    </xf>
    <xf numFmtId="3" fontId="32" fillId="0" borderId="1" xfId="0" applyNumberFormat="1" applyFont="1" applyFill="1" applyBorder="1" applyAlignment="1">
      <alignment horizontal="center" vertical="center"/>
    </xf>
    <xf numFmtId="3" fontId="32" fillId="0" borderId="1" xfId="0" applyNumberFormat="1" applyFont="1" applyFill="1" applyBorder="1" applyAlignment="1">
      <alignment horizontal="center" vertical="center" wrapText="1"/>
    </xf>
    <xf numFmtId="3" fontId="31" fillId="0" borderId="1" xfId="0" applyNumberFormat="1" applyFont="1" applyFill="1" applyBorder="1" applyAlignment="1">
      <alignment horizontal="center" vertical="center" wrapText="1"/>
    </xf>
    <xf numFmtId="3" fontId="31" fillId="0" borderId="3" xfId="0" applyNumberFormat="1" applyFont="1" applyFill="1" applyBorder="1" applyAlignment="1">
      <alignment horizontal="center" vertical="center" wrapText="1"/>
    </xf>
    <xf numFmtId="1" fontId="31" fillId="0" borderId="3" xfId="0" applyNumberFormat="1" applyFont="1" applyFill="1" applyBorder="1" applyAlignment="1">
      <alignment horizontal="center" vertical="center" wrapText="1"/>
    </xf>
    <xf numFmtId="0" fontId="31" fillId="0" borderId="1" xfId="782" applyFont="1" applyFill="1" applyBorder="1" applyAlignment="1">
      <alignment vertical="center" wrapText="1"/>
    </xf>
    <xf numFmtId="0" fontId="31" fillId="0" borderId="1" xfId="782" applyFont="1" applyFill="1" applyBorder="1" applyAlignment="1">
      <alignment vertical="center"/>
    </xf>
    <xf numFmtId="0" fontId="31" fillId="0" borderId="1" xfId="782" applyFont="1" applyFill="1" applyBorder="1" applyAlignment="1">
      <alignment horizontal="right" vertical="center" indent="1"/>
    </xf>
    <xf numFmtId="0" fontId="31" fillId="0" borderId="1" xfId="782" applyFont="1" applyFill="1" applyBorder="1" applyAlignment="1">
      <alignment horizontal="left" vertical="center" wrapText="1"/>
    </xf>
    <xf numFmtId="0" fontId="33" fillId="0" borderId="1" xfId="782" applyFont="1" applyBorder="1" applyAlignment="1">
      <alignment horizontal="left"/>
    </xf>
    <xf numFmtId="1" fontId="31" fillId="0" borderId="1" xfId="0" applyNumberFormat="1" applyFont="1" applyFill="1" applyBorder="1" applyAlignment="1">
      <alignment horizontal="center" vertical="center" wrapText="1"/>
    </xf>
    <xf numFmtId="0" fontId="33" fillId="0" borderId="2" xfId="782" applyFont="1" applyBorder="1" applyAlignment="1">
      <alignment horizontal="left"/>
    </xf>
    <xf numFmtId="0" fontId="31" fillId="0" borderId="2" xfId="83" applyNumberFormat="1" applyFont="1" applyFill="1" applyBorder="1" applyAlignment="1">
      <alignment horizontal="right" vertical="center" indent="1"/>
    </xf>
    <xf numFmtId="3" fontId="32" fillId="0" borderId="2" xfId="0" applyNumberFormat="1" applyFont="1" applyFill="1" applyBorder="1" applyAlignment="1">
      <alignment horizontal="center" vertical="center"/>
    </xf>
    <xf numFmtId="0" fontId="33" fillId="0" borderId="3" xfId="782" applyFont="1" applyBorder="1" applyAlignment="1">
      <alignment horizontal="left"/>
    </xf>
    <xf numFmtId="0" fontId="31" fillId="0" borderId="3" xfId="782" applyFont="1" applyFill="1" applyBorder="1" applyAlignment="1">
      <alignment horizontal="right" vertical="center" indent="1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H22"/>
  <sheetViews>
    <sheetView tabSelected="1" zoomScaleNormal="100" zoomScaleSheetLayoutView="70" workbookViewId="0">
      <selection activeCell="I6" sqref="I6"/>
    </sheetView>
  </sheetViews>
  <sheetFormatPr baseColWidth="10" defaultColWidth="11.42578125" defaultRowHeight="15" x14ac:dyDescent="0.25"/>
  <cols>
    <col min="1" max="1" width="11.42578125" style="2"/>
    <col min="2" max="2" width="25.140625" style="1" customWidth="1"/>
    <col min="3" max="3" width="17.85546875" style="1" customWidth="1"/>
    <col min="4" max="4" width="62.28515625" style="1" customWidth="1"/>
    <col min="5" max="5" width="37.140625" style="1" customWidth="1"/>
    <col min="6" max="6" width="24.5703125" style="1" customWidth="1"/>
    <col min="7" max="16384" width="11.42578125" style="2"/>
  </cols>
  <sheetData>
    <row r="1" spans="1:8" s="3" customFormat="1" ht="20.100000000000001" customHeight="1" x14ac:dyDescent="0.2">
      <c r="A1" s="17" t="s">
        <v>10</v>
      </c>
      <c r="B1" s="14" t="s">
        <v>7</v>
      </c>
      <c r="C1" s="15" t="s">
        <v>8</v>
      </c>
      <c r="D1" s="15" t="s">
        <v>11</v>
      </c>
      <c r="E1" s="15" t="s">
        <v>12</v>
      </c>
      <c r="F1" s="15" t="s">
        <v>9</v>
      </c>
    </row>
    <row r="2" spans="1:8" ht="18" customHeight="1" x14ac:dyDescent="0.25">
      <c r="A2" s="18">
        <v>2021</v>
      </c>
      <c r="B2" s="8" t="s">
        <v>6</v>
      </c>
      <c r="C2" s="9">
        <v>19</v>
      </c>
      <c r="D2" s="9">
        <v>970</v>
      </c>
      <c r="E2" s="9">
        <v>110</v>
      </c>
      <c r="F2" s="9">
        <v>67</v>
      </c>
    </row>
    <row r="3" spans="1:8" ht="18" customHeight="1" x14ac:dyDescent="0.25">
      <c r="A3" s="18">
        <v>2021</v>
      </c>
      <c r="B3" s="8" t="s">
        <v>1</v>
      </c>
      <c r="C3" s="9">
        <v>9</v>
      </c>
      <c r="D3" s="9">
        <v>360</v>
      </c>
      <c r="E3" s="9">
        <v>50</v>
      </c>
      <c r="F3" s="9"/>
    </row>
    <row r="4" spans="1:8" ht="18" customHeight="1" x14ac:dyDescent="0.3">
      <c r="A4" s="18">
        <v>2021</v>
      </c>
      <c r="B4" s="8" t="s">
        <v>2</v>
      </c>
      <c r="C4" s="9">
        <v>6</v>
      </c>
      <c r="D4" s="9">
        <v>300</v>
      </c>
      <c r="E4" s="9">
        <v>5</v>
      </c>
      <c r="F4" s="9"/>
      <c r="G4" s="6"/>
      <c r="H4" s="7"/>
    </row>
    <row r="5" spans="1:8" ht="18" customHeight="1" x14ac:dyDescent="0.25">
      <c r="A5" s="18">
        <v>2021</v>
      </c>
      <c r="B5" s="8" t="s">
        <v>3</v>
      </c>
      <c r="C5" s="9">
        <v>44</v>
      </c>
      <c r="D5" s="9">
        <v>1900</v>
      </c>
      <c r="E5" s="10">
        <v>155</v>
      </c>
      <c r="F5" s="10">
        <v>48</v>
      </c>
      <c r="G5" s="5"/>
      <c r="H5" s="4"/>
    </row>
    <row r="6" spans="1:8" ht="18" customHeight="1" x14ac:dyDescent="0.25">
      <c r="A6" s="18">
        <v>2021</v>
      </c>
      <c r="B6" s="8" t="s">
        <v>4</v>
      </c>
      <c r="C6" s="9">
        <v>16</v>
      </c>
      <c r="D6" s="9">
        <v>395</v>
      </c>
      <c r="E6" s="9">
        <v>10</v>
      </c>
      <c r="F6" s="9"/>
      <c r="G6" s="4"/>
      <c r="H6" s="4"/>
    </row>
    <row r="7" spans="1:8" ht="18" customHeight="1" x14ac:dyDescent="0.25">
      <c r="A7" s="18">
        <v>2021</v>
      </c>
      <c r="B7" s="8" t="s">
        <v>5</v>
      </c>
      <c r="C7" s="9">
        <v>21</v>
      </c>
      <c r="D7" s="9">
        <v>380</v>
      </c>
      <c r="E7" s="9">
        <v>30</v>
      </c>
      <c r="F7" s="9"/>
    </row>
    <row r="8" spans="1:8" ht="18" customHeight="1" thickBot="1" x14ac:dyDescent="0.3">
      <c r="A8" s="23">
        <v>2021</v>
      </c>
      <c r="B8" s="24" t="s">
        <v>0</v>
      </c>
      <c r="C8" s="12">
        <f>SUM(C2:C7)</f>
        <v>115</v>
      </c>
      <c r="D8" s="12">
        <v>4305</v>
      </c>
      <c r="E8" s="12">
        <f>SUM(E2:E7)</f>
        <v>360</v>
      </c>
      <c r="F8" s="12">
        <f>SUM(F2:F7)</f>
        <v>115</v>
      </c>
    </row>
    <row r="9" spans="1:8" ht="18" customHeight="1" x14ac:dyDescent="0.25">
      <c r="A9" s="20">
        <v>2022</v>
      </c>
      <c r="B9" s="21" t="s">
        <v>6</v>
      </c>
      <c r="C9" s="22">
        <v>19</v>
      </c>
      <c r="D9" s="22">
        <v>970</v>
      </c>
      <c r="E9" s="22">
        <v>55</v>
      </c>
      <c r="F9" s="22">
        <v>15.5</v>
      </c>
    </row>
    <row r="10" spans="1:8" ht="18" customHeight="1" x14ac:dyDescent="0.25">
      <c r="A10" s="18">
        <v>2022</v>
      </c>
      <c r="B10" s="8" t="s">
        <v>1</v>
      </c>
      <c r="C10" s="9">
        <v>9</v>
      </c>
      <c r="D10" s="9">
        <v>360</v>
      </c>
      <c r="E10" s="9">
        <v>5</v>
      </c>
      <c r="F10" s="9"/>
    </row>
    <row r="11" spans="1:8" ht="18" customHeight="1" x14ac:dyDescent="0.25">
      <c r="A11" s="18">
        <v>2022</v>
      </c>
      <c r="B11" s="8" t="s">
        <v>2</v>
      </c>
      <c r="C11" s="9">
        <v>6</v>
      </c>
      <c r="D11" s="9">
        <v>300</v>
      </c>
      <c r="E11" s="9">
        <v>10</v>
      </c>
      <c r="F11" s="9"/>
    </row>
    <row r="12" spans="1:8" ht="18" customHeight="1" x14ac:dyDescent="0.25">
      <c r="A12" s="18">
        <v>2022</v>
      </c>
      <c r="B12" s="8" t="s">
        <v>3</v>
      </c>
      <c r="C12" s="9">
        <v>44</v>
      </c>
      <c r="D12" s="9">
        <v>1900</v>
      </c>
      <c r="E12" s="10">
        <v>100</v>
      </c>
      <c r="F12" s="10">
        <v>47.5</v>
      </c>
    </row>
    <row r="13" spans="1:8" ht="18" customHeight="1" x14ac:dyDescent="0.25">
      <c r="A13" s="18">
        <v>2022</v>
      </c>
      <c r="B13" s="8" t="s">
        <v>4</v>
      </c>
      <c r="C13" s="9">
        <v>16</v>
      </c>
      <c r="D13" s="9">
        <v>395</v>
      </c>
      <c r="E13" s="9">
        <v>0</v>
      </c>
      <c r="F13" s="9"/>
    </row>
    <row r="14" spans="1:8" ht="18" customHeight="1" x14ac:dyDescent="0.25">
      <c r="A14" s="18">
        <v>2022</v>
      </c>
      <c r="B14" s="8" t="s">
        <v>5</v>
      </c>
      <c r="C14" s="9">
        <v>21</v>
      </c>
      <c r="D14" s="9">
        <v>380</v>
      </c>
      <c r="E14" s="9">
        <v>15</v>
      </c>
      <c r="F14" s="9">
        <v>5</v>
      </c>
    </row>
    <row r="15" spans="1:8" ht="18" customHeight="1" thickBot="1" x14ac:dyDescent="0.3">
      <c r="A15" s="23">
        <v>2022</v>
      </c>
      <c r="B15" s="24" t="s">
        <v>0</v>
      </c>
      <c r="C15" s="12">
        <f>SUM(C9:C14)</f>
        <v>115</v>
      </c>
      <c r="D15" s="13">
        <f t="shared" ref="D15:F15" si="0">SUM(D9:D14)</f>
        <v>4305</v>
      </c>
      <c r="E15" s="13">
        <f t="shared" si="0"/>
        <v>185</v>
      </c>
      <c r="F15" s="13">
        <f t="shared" si="0"/>
        <v>68</v>
      </c>
    </row>
    <row r="16" spans="1:8" ht="18" customHeight="1" x14ac:dyDescent="0.25">
      <c r="A16" s="20">
        <v>2023</v>
      </c>
      <c r="B16" s="21" t="s">
        <v>6</v>
      </c>
      <c r="C16" s="22">
        <v>19</v>
      </c>
      <c r="D16" s="22">
        <v>950</v>
      </c>
      <c r="E16" s="22">
        <v>335</v>
      </c>
      <c r="F16" s="22">
        <v>67</v>
      </c>
    </row>
    <row r="17" spans="1:6" ht="18" customHeight="1" x14ac:dyDescent="0.25">
      <c r="A17" s="18">
        <v>2023</v>
      </c>
      <c r="B17" s="8" t="s">
        <v>1</v>
      </c>
      <c r="C17" s="9">
        <v>9</v>
      </c>
      <c r="D17" s="9">
        <v>340</v>
      </c>
      <c r="E17" s="9">
        <v>270</v>
      </c>
      <c r="F17" s="9"/>
    </row>
    <row r="18" spans="1:6" ht="18" customHeight="1" x14ac:dyDescent="0.25">
      <c r="A18" s="18">
        <v>2023</v>
      </c>
      <c r="B18" s="8" t="s">
        <v>2</v>
      </c>
      <c r="C18" s="9">
        <v>6</v>
      </c>
      <c r="D18" s="9">
        <v>280</v>
      </c>
      <c r="E18" s="9">
        <v>115</v>
      </c>
      <c r="F18" s="9"/>
    </row>
    <row r="19" spans="1:6" ht="18" customHeight="1" x14ac:dyDescent="0.25">
      <c r="A19" s="18">
        <v>2023</v>
      </c>
      <c r="B19" s="8" t="s">
        <v>3</v>
      </c>
      <c r="C19" s="9">
        <v>44</v>
      </c>
      <c r="D19" s="9">
        <v>1850</v>
      </c>
      <c r="E19" s="10">
        <v>495</v>
      </c>
      <c r="F19" s="10">
        <v>11</v>
      </c>
    </row>
    <row r="20" spans="1:6" ht="18" customHeight="1" x14ac:dyDescent="0.25">
      <c r="A20" s="18">
        <v>2023</v>
      </c>
      <c r="B20" s="8" t="s">
        <v>4</v>
      </c>
      <c r="C20" s="9">
        <v>16</v>
      </c>
      <c r="D20" s="9">
        <v>375</v>
      </c>
      <c r="E20" s="9">
        <v>210</v>
      </c>
      <c r="F20" s="9"/>
    </row>
    <row r="21" spans="1:6" ht="18" customHeight="1" x14ac:dyDescent="0.25">
      <c r="A21" s="18">
        <v>2023</v>
      </c>
      <c r="B21" s="8" t="s">
        <v>5</v>
      </c>
      <c r="C21" s="9">
        <v>21</v>
      </c>
      <c r="D21" s="9">
        <v>360</v>
      </c>
      <c r="E21" s="9">
        <v>265</v>
      </c>
      <c r="F21" s="9"/>
    </row>
    <row r="22" spans="1:6" ht="18" customHeight="1" x14ac:dyDescent="0.25">
      <c r="A22" s="18">
        <v>2023</v>
      </c>
      <c r="B22" s="16" t="s">
        <v>0</v>
      </c>
      <c r="C22" s="11">
        <f t="shared" ref="C22:F22" si="1">SUM(C16:C21)</f>
        <v>115</v>
      </c>
      <c r="D22" s="19">
        <f t="shared" si="1"/>
        <v>4155</v>
      </c>
      <c r="E22" s="19">
        <f t="shared" si="1"/>
        <v>1690</v>
      </c>
      <c r="F22" s="19">
        <f t="shared" si="1"/>
        <v>78</v>
      </c>
    </row>
  </sheetData>
  <mergeCells count="1">
    <mergeCell ref="G4:H4"/>
  </mergeCells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66" firstPageNumber="47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Agric1</vt:lpstr>
      <vt:lpstr>Agric1!Zone_d_impression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2025-04-15T13:13:00Z</dcterms:modified>
</cp:coreProperties>
</file>