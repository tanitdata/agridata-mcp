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9" i="1" l="1"/>
  <c r="H22" i="1"/>
  <c r="E29" i="1"/>
  <c r="D29" i="1"/>
  <c r="D22" i="1"/>
  <c r="C28" i="1"/>
  <c r="C27" i="1"/>
  <c r="C26" i="1"/>
  <c r="C24" i="1"/>
  <c r="C23" i="1"/>
  <c r="C29" i="1" s="1"/>
  <c r="I29" i="1"/>
  <c r="G29" i="1"/>
  <c r="F29" i="1"/>
  <c r="I22" i="1" l="1"/>
  <c r="G22" i="1"/>
  <c r="F22" i="1"/>
  <c r="E22" i="1"/>
  <c r="C22" i="1"/>
  <c r="I15" i="1" l="1"/>
  <c r="H15" i="1"/>
  <c r="G15" i="1"/>
  <c r="F15" i="1"/>
  <c r="E15" i="1"/>
  <c r="D15" i="1"/>
  <c r="C12" i="1"/>
  <c r="C15" i="1" s="1"/>
  <c r="I8" i="1" l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<sst xmlns="http://schemas.openxmlformats.org/spreadsheetml/2006/main" count="65" uniqueCount="20">
  <si>
    <t>زغوان</t>
  </si>
  <si>
    <t>الزريبة</t>
  </si>
  <si>
    <t>بئر مشارقة</t>
  </si>
  <si>
    <t>الفحص</t>
  </si>
  <si>
    <t>الناظور</t>
  </si>
  <si>
    <t>صواف</t>
  </si>
  <si>
    <t xml:space="preserve">المجموع   </t>
  </si>
  <si>
    <t>2019/2020</t>
  </si>
  <si>
    <t>2020/2021</t>
  </si>
  <si>
    <t>Campagne agricole</t>
  </si>
  <si>
    <t>2021/2022</t>
  </si>
  <si>
    <t>Délégation</t>
  </si>
  <si>
    <t>Maraîchage_Tonne</t>
  </si>
  <si>
    <t>Cultures Industrielles_Tonne</t>
  </si>
  <si>
    <t>Arboriculture (sans olivier)_Tonne</t>
  </si>
  <si>
    <t>Céréaliculture_Tonne</t>
  </si>
  <si>
    <t>Légumineuses_Tonne</t>
  </si>
  <si>
    <t>Fourrages_Tonne</t>
  </si>
  <si>
    <t>Olives_Tonne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</si>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</sst>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4" fillId="0" borderId="1" xfId="1" applyFont="1" applyBorder="1" applyAlignment="1">
      <alignment horizontal="right" vertical="center" indent="1"/>
    </xf>
    <xf numFmtId="0" fontId="4" fillId="0" borderId="1" xfId="1" applyFont="1" applyBorder="1" applyAlignment="1">
      <alignment vertical="center"/>
    </xf>
    <xf numFmtId="0" fontId="4" fillId="0" borderId="1" xfId="2" applyFont="1" applyBorder="1" applyAlignment="1">
      <alignment horizontal="right" vertical="center" indent="1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3" fontId="5" fillId="0" borderId="1" xfId="3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3" fontId="5" fillId="0" borderId="1" xfId="3" applyNumberFormat="1" applyFont="1" applyFill="1" applyBorder="1" applyAlignment="1">
      <alignment horizontal="center" vertical="center"/>
    </xf>
    <xf numFmtId="1" fontId="5" fillId="0" borderId="1" xfId="3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Fill="1" applyBorder="1"/>
    <xf numFmtId="0" fontId="6" fillId="0" borderId="3" xfId="0" applyFont="1" applyBorder="1"/>
    <xf numFmtId="0" fontId="4" fillId="0" borderId="3" xfId="2" applyFont="1" applyBorder="1" applyAlignment="1">
      <alignment horizontal="right" vertical="center" indent="1"/>
    </xf>
    <xf numFmtId="3" fontId="5" fillId="0" borderId="3" xfId="0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0" fontId="6" fillId="0" borderId="4" xfId="0" applyFont="1" applyBorder="1"/>
    <xf numFmtId="0" fontId="4" fillId="0" borderId="4" xfId="1" applyFont="1" applyBorder="1" applyAlignment="1">
      <alignment horizontal="right" vertical="center" indent="1"/>
    </xf>
    <xf numFmtId="3" fontId="4" fillId="0" borderId="4" xfId="0" applyNumberFormat="1" applyFont="1" applyBorder="1" applyAlignment="1">
      <alignment horizontal="center" vertical="center"/>
    </xf>
    <xf numFmtId="0" fontId="6" fillId="0" borderId="3" xfId="0" applyFont="1" applyFill="1" applyBorder="1"/>
    <xf numFmtId="3" fontId="5" fillId="0" borderId="3" xfId="0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0" fontId="5" fillId="0" borderId="3" xfId="3" applyFont="1" applyFill="1" applyBorder="1" applyAlignment="1">
      <alignment horizontal="center" vertical="center"/>
    </xf>
    <xf numFmtId="3" fontId="5" fillId="0" borderId="3" xfId="3" applyNumberFormat="1" applyFont="1" applyFill="1" applyBorder="1" applyAlignment="1">
      <alignment horizontal="center" vertical="center"/>
    </xf>
    <xf numFmtId="1" fontId="5" fillId="0" borderId="3" xfId="3" applyNumberFormat="1" applyFont="1" applyFill="1" applyBorder="1" applyAlignment="1">
      <alignment horizontal="center" vertical="center"/>
    </xf>
    <xf numFmtId="0" fontId="6" fillId="0" borderId="4" xfId="0" applyFont="1" applyFill="1" applyBorder="1"/>
    <xf numFmtId="3" fontId="4" fillId="0" borderId="4" xfId="0" applyNumberFormat="1" applyFont="1" applyFill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/>
    </xf>
  </cellXfs>
  <cellStyles count="6">
    <cellStyle name="Normal" xfId="0" builtinId="0"/>
    <cellStyle name="Normal 10" xfId="2"/>
    <cellStyle name="Normal 2 10" xfId="3"/>
    <cellStyle name="Normal 2 10 2" xfId="5"/>
    <cellStyle name="Normal 32 2" xfId="1"/>
    <cellStyle name="Normal 32 2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1" max="1" width="16.5703125" customWidth="1"/>
    <col min="2" max="2" width="11.5703125" customWidth="1"/>
    <col min="3" max="3" width="20.42578125" customWidth="1"/>
    <col min="4" max="4" width="24.42578125" customWidth="1"/>
    <col min="5" max="5" width="22.28515625" customWidth="1"/>
    <col min="6" max="6" width="27.28515625" customWidth="1"/>
    <col min="7" max="7" width="23.140625" customWidth="1"/>
    <col min="8" max="8" width="19.7109375" customWidth="1"/>
    <col min="9" max="9" width="22.7109375" customWidth="1"/>
  </cols>
  <sheetData>
    <row r="1" spans="1:9" ht="42.75" customHeight="1" x14ac:dyDescent="0.25">
      <c r="A1" s="1" t="s">
        <v>9</v>
      </c>
      <c r="B1" s="1" t="s">
        <v>11</v>
      </c>
      <c r="C1" s="2" t="s">
        <v>12</v>
      </c>
      <c r="D1" s="14" t="s">
        <v>13</v>
      </c>
      <c r="E1" s="14" t="s">
        <v>14</v>
      </c>
      <c r="F1" s="2" t="s">
        <v>15</v>
      </c>
      <c r="G1" s="2" t="s">
        <v>16</v>
      </c>
      <c r="H1" s="2" t="s">
        <v>17</v>
      </c>
      <c r="I1" s="34" t="s">
        <v>18</v>
      </c>
    </row>
    <row r="2" spans="1:9" ht="15.75" customHeight="1" x14ac:dyDescent="0.25">
      <c r="A2" s="15" t="s">
        <v>7</v>
      </c>
      <c r="B2" s="3" t="s">
        <v>0</v>
      </c>
      <c r="C2" s="4">
        <v>6955</v>
      </c>
      <c r="D2" s="4">
        <v>5400</v>
      </c>
      <c r="E2" s="4">
        <v>11420</v>
      </c>
      <c r="F2" s="5">
        <v>11222</v>
      </c>
      <c r="G2" s="6">
        <v>164</v>
      </c>
      <c r="H2" s="6">
        <v>19635</v>
      </c>
      <c r="I2" s="6">
        <v>14150</v>
      </c>
    </row>
    <row r="3" spans="1:9" ht="15.75" customHeight="1" x14ac:dyDescent="0.25">
      <c r="A3" s="15" t="s">
        <v>7</v>
      </c>
      <c r="B3" s="3" t="s">
        <v>1</v>
      </c>
      <c r="C3" s="4">
        <v>2350</v>
      </c>
      <c r="D3" s="4">
        <v>100</v>
      </c>
      <c r="E3" s="4">
        <v>2280</v>
      </c>
      <c r="F3" s="5">
        <v>3170</v>
      </c>
      <c r="G3" s="6">
        <v>2.5</v>
      </c>
      <c r="H3" s="6">
        <v>3630</v>
      </c>
      <c r="I3" s="6">
        <v>10650</v>
      </c>
    </row>
    <row r="4" spans="1:9" ht="15.75" customHeight="1" x14ac:dyDescent="0.25">
      <c r="A4" s="15" t="s">
        <v>7</v>
      </c>
      <c r="B4" s="3" t="s">
        <v>2</v>
      </c>
      <c r="C4" s="4">
        <v>595</v>
      </c>
      <c r="D4" s="4">
        <v>9500</v>
      </c>
      <c r="E4" s="4">
        <v>5765</v>
      </c>
      <c r="F4" s="7">
        <v>20740</v>
      </c>
      <c r="G4" s="4">
        <v>110</v>
      </c>
      <c r="H4" s="4">
        <v>34110</v>
      </c>
      <c r="I4" s="4">
        <v>10590</v>
      </c>
    </row>
    <row r="5" spans="1:9" ht="15.75" x14ac:dyDescent="0.25">
      <c r="A5" s="15" t="s">
        <v>7</v>
      </c>
      <c r="B5" s="3" t="s">
        <v>3</v>
      </c>
      <c r="C5" s="4">
        <v>32870</v>
      </c>
      <c r="D5" s="4">
        <v>10000</v>
      </c>
      <c r="E5" s="4">
        <v>6145</v>
      </c>
      <c r="F5" s="7">
        <v>29912</v>
      </c>
      <c r="G5" s="4">
        <v>300</v>
      </c>
      <c r="H5" s="4">
        <v>51138</v>
      </c>
      <c r="I5" s="4">
        <v>34375</v>
      </c>
    </row>
    <row r="6" spans="1:9" ht="15.75" x14ac:dyDescent="0.25">
      <c r="A6" s="15" t="s">
        <v>7</v>
      </c>
      <c r="B6" s="3" t="s">
        <v>4</v>
      </c>
      <c r="C6" s="4">
        <v>112990</v>
      </c>
      <c r="D6" s="4"/>
      <c r="E6" s="4">
        <v>2495</v>
      </c>
      <c r="F6" s="7">
        <v>2324</v>
      </c>
      <c r="G6" s="4">
        <v>84</v>
      </c>
      <c r="H6" s="4">
        <v>2050</v>
      </c>
      <c r="I6" s="4">
        <v>7730</v>
      </c>
    </row>
    <row r="7" spans="1:9" ht="15.75" x14ac:dyDescent="0.25">
      <c r="A7" s="15" t="s">
        <v>7</v>
      </c>
      <c r="B7" s="3" t="s">
        <v>5</v>
      </c>
      <c r="C7" s="6">
        <v>13000</v>
      </c>
      <c r="D7" s="6"/>
      <c r="E7" s="6">
        <v>2937</v>
      </c>
      <c r="F7" s="7">
        <v>2915</v>
      </c>
      <c r="G7" s="4"/>
      <c r="H7" s="4">
        <v>9600</v>
      </c>
      <c r="I7" s="4">
        <v>3880</v>
      </c>
    </row>
    <row r="8" spans="1:9" ht="16.5" thickBot="1" x14ac:dyDescent="0.3">
      <c r="A8" s="22" t="s">
        <v>7</v>
      </c>
      <c r="B8" s="23" t="s">
        <v>6</v>
      </c>
      <c r="C8" s="24">
        <f t="shared" ref="C8:I8" si="0">SUM(C2:C7)</f>
        <v>168760</v>
      </c>
      <c r="D8" s="24">
        <f t="shared" si="0"/>
        <v>25000</v>
      </c>
      <c r="E8" s="24">
        <f t="shared" si="0"/>
        <v>31042</v>
      </c>
      <c r="F8" s="24">
        <f t="shared" si="0"/>
        <v>70283</v>
      </c>
      <c r="G8" s="24">
        <f t="shared" si="0"/>
        <v>660.5</v>
      </c>
      <c r="H8" s="24">
        <f t="shared" si="0"/>
        <v>120163</v>
      </c>
      <c r="I8" s="24">
        <f t="shared" si="0"/>
        <v>81375</v>
      </c>
    </row>
    <row r="9" spans="1:9" ht="15.75" x14ac:dyDescent="0.25">
      <c r="A9" s="17" t="s">
        <v>8</v>
      </c>
      <c r="B9" s="18" t="s">
        <v>0</v>
      </c>
      <c r="C9" s="19">
        <v>6300</v>
      </c>
      <c r="D9" s="19">
        <v>5400</v>
      </c>
      <c r="E9" s="19">
        <v>14150</v>
      </c>
      <c r="F9" s="20">
        <v>15769</v>
      </c>
      <c r="G9" s="21">
        <v>360.5</v>
      </c>
      <c r="H9" s="21">
        <v>36700</v>
      </c>
      <c r="I9" s="21">
        <v>1645</v>
      </c>
    </row>
    <row r="10" spans="1:9" ht="15.75" x14ac:dyDescent="0.25">
      <c r="A10" s="15" t="s">
        <v>8</v>
      </c>
      <c r="B10" s="3" t="s">
        <v>1</v>
      </c>
      <c r="C10" s="4">
        <v>1050</v>
      </c>
      <c r="D10" s="4">
        <v>100</v>
      </c>
      <c r="E10" s="4">
        <v>2960</v>
      </c>
      <c r="F10" s="5">
        <v>8953</v>
      </c>
      <c r="G10" s="6">
        <v>86.9</v>
      </c>
      <c r="H10" s="6">
        <v>10071</v>
      </c>
      <c r="I10" s="6">
        <v>860</v>
      </c>
    </row>
    <row r="11" spans="1:9" ht="15.75" x14ac:dyDescent="0.25">
      <c r="A11" s="15" t="s">
        <v>8</v>
      </c>
      <c r="B11" s="3" t="s">
        <v>2</v>
      </c>
      <c r="C11" s="4">
        <v>500</v>
      </c>
      <c r="D11" s="4">
        <v>9500</v>
      </c>
      <c r="E11" s="4">
        <v>6450</v>
      </c>
      <c r="F11" s="7">
        <v>26170</v>
      </c>
      <c r="G11" s="4">
        <v>170</v>
      </c>
      <c r="H11" s="4">
        <v>34410</v>
      </c>
      <c r="I11" s="4">
        <v>6870</v>
      </c>
    </row>
    <row r="12" spans="1:9" ht="15.75" x14ac:dyDescent="0.25">
      <c r="A12" s="15" t="s">
        <v>8</v>
      </c>
      <c r="B12" s="3" t="s">
        <v>3</v>
      </c>
      <c r="C12" s="4">
        <f>13060+11215</f>
        <v>24275</v>
      </c>
      <c r="D12" s="4">
        <v>10000</v>
      </c>
      <c r="E12" s="4">
        <v>7045</v>
      </c>
      <c r="F12" s="7">
        <v>49678</v>
      </c>
      <c r="G12" s="4">
        <v>900</v>
      </c>
      <c r="H12" s="4">
        <v>110725</v>
      </c>
      <c r="I12" s="4">
        <v>5210</v>
      </c>
    </row>
    <row r="13" spans="1:9" ht="15.75" x14ac:dyDescent="0.25">
      <c r="A13" s="15" t="s">
        <v>8</v>
      </c>
      <c r="B13" s="3" t="s">
        <v>4</v>
      </c>
      <c r="C13" s="4">
        <v>95605</v>
      </c>
      <c r="D13" s="4"/>
      <c r="E13" s="4">
        <v>3210</v>
      </c>
      <c r="F13" s="7">
        <v>3835</v>
      </c>
      <c r="G13" s="4">
        <v>55.5</v>
      </c>
      <c r="H13" s="4">
        <v>5840</v>
      </c>
      <c r="I13" s="4">
        <v>3440</v>
      </c>
    </row>
    <row r="14" spans="1:9" ht="15.75" customHeight="1" x14ac:dyDescent="0.25">
      <c r="A14" s="15" t="s">
        <v>8</v>
      </c>
      <c r="B14" s="3" t="s">
        <v>5</v>
      </c>
      <c r="C14" s="6">
        <v>8225</v>
      </c>
      <c r="D14" s="6"/>
      <c r="E14" s="6">
        <v>3680</v>
      </c>
      <c r="F14" s="7">
        <v>2018</v>
      </c>
      <c r="G14" s="4">
        <v>0</v>
      </c>
      <c r="H14" s="4">
        <v>5916</v>
      </c>
      <c r="I14" s="4">
        <v>935</v>
      </c>
    </row>
    <row r="15" spans="1:9" ht="16.5" customHeight="1" thickBot="1" x14ac:dyDescent="0.3">
      <c r="A15" s="22" t="s">
        <v>8</v>
      </c>
      <c r="B15" s="23" t="s">
        <v>6</v>
      </c>
      <c r="C15" s="24">
        <f t="shared" ref="C15:I15" si="1">SUM(C9:C14)</f>
        <v>135955</v>
      </c>
      <c r="D15" s="24">
        <f t="shared" si="1"/>
        <v>25000</v>
      </c>
      <c r="E15" s="24">
        <f t="shared" si="1"/>
        <v>37495</v>
      </c>
      <c r="F15" s="24">
        <f t="shared" si="1"/>
        <v>106423</v>
      </c>
      <c r="G15" s="24">
        <f t="shared" si="1"/>
        <v>1572.9</v>
      </c>
      <c r="H15" s="24">
        <f t="shared" si="1"/>
        <v>203662</v>
      </c>
      <c r="I15" s="24">
        <f t="shared" si="1"/>
        <v>18960</v>
      </c>
    </row>
    <row r="16" spans="1:9" ht="15.75" x14ac:dyDescent="0.25">
      <c r="A16" s="25" t="s">
        <v>10</v>
      </c>
      <c r="B16" s="18" t="s">
        <v>0</v>
      </c>
      <c r="C16" s="26">
        <v>3348</v>
      </c>
      <c r="D16" s="27">
        <v>70</v>
      </c>
      <c r="E16" s="26">
        <v>11230</v>
      </c>
      <c r="F16" s="28">
        <v>8386</v>
      </c>
      <c r="G16" s="29">
        <v>154.80000000000001</v>
      </c>
      <c r="H16" s="30">
        <v>9685</v>
      </c>
      <c r="I16" s="29">
        <v>3265</v>
      </c>
    </row>
    <row r="17" spans="1:9" ht="15.75" x14ac:dyDescent="0.25">
      <c r="A17" s="16" t="s">
        <v>10</v>
      </c>
      <c r="B17" s="3" t="s">
        <v>1</v>
      </c>
      <c r="C17" s="8">
        <v>1545</v>
      </c>
      <c r="D17" s="9">
        <v>0</v>
      </c>
      <c r="E17" s="8">
        <v>2815</v>
      </c>
      <c r="F17" s="10">
        <v>3320</v>
      </c>
      <c r="G17" s="11">
        <v>0</v>
      </c>
      <c r="H17" s="12">
        <v>13260</v>
      </c>
      <c r="I17" s="11">
        <v>1241</v>
      </c>
    </row>
    <row r="18" spans="1:9" ht="15.75" x14ac:dyDescent="0.25">
      <c r="A18" s="16" t="s">
        <v>10</v>
      </c>
      <c r="B18" s="3" t="s">
        <v>2</v>
      </c>
      <c r="C18" s="8">
        <v>0</v>
      </c>
      <c r="D18" s="9">
        <v>199</v>
      </c>
      <c r="E18" s="8">
        <v>6100</v>
      </c>
      <c r="F18" s="9">
        <v>20181</v>
      </c>
      <c r="G18" s="8">
        <v>90</v>
      </c>
      <c r="H18" s="9">
        <v>22300</v>
      </c>
      <c r="I18" s="8">
        <v>6010</v>
      </c>
    </row>
    <row r="19" spans="1:9" ht="15.75" x14ac:dyDescent="0.25">
      <c r="A19" s="16" t="s">
        <v>10</v>
      </c>
      <c r="B19" s="3" t="s">
        <v>3</v>
      </c>
      <c r="C19" s="8">
        <v>21064</v>
      </c>
      <c r="D19" s="9">
        <v>81</v>
      </c>
      <c r="E19" s="8">
        <v>6706</v>
      </c>
      <c r="F19" s="9">
        <v>31352</v>
      </c>
      <c r="G19" s="8">
        <v>761</v>
      </c>
      <c r="H19" s="9">
        <v>73682</v>
      </c>
      <c r="I19" s="8">
        <v>14825</v>
      </c>
    </row>
    <row r="20" spans="1:9" ht="15.75" x14ac:dyDescent="0.25">
      <c r="A20" s="16" t="s">
        <v>10</v>
      </c>
      <c r="B20" s="3" t="s">
        <v>4</v>
      </c>
      <c r="C20" s="8">
        <v>95233</v>
      </c>
      <c r="D20" s="9">
        <v>0</v>
      </c>
      <c r="E20" s="8">
        <v>2950</v>
      </c>
      <c r="F20" s="9">
        <v>5435</v>
      </c>
      <c r="G20" s="8">
        <v>55.5</v>
      </c>
      <c r="H20" s="9">
        <v>743</v>
      </c>
      <c r="I20" s="8">
        <v>3525</v>
      </c>
    </row>
    <row r="21" spans="1:9" ht="15.75" x14ac:dyDescent="0.25">
      <c r="A21" s="16" t="s">
        <v>10</v>
      </c>
      <c r="B21" s="3" t="s">
        <v>5</v>
      </c>
      <c r="C21" s="11">
        <v>6673</v>
      </c>
      <c r="D21" s="12">
        <v>0</v>
      </c>
      <c r="E21" s="11">
        <v>3258</v>
      </c>
      <c r="F21" s="9">
        <v>1609</v>
      </c>
      <c r="G21" s="8">
        <v>0</v>
      </c>
      <c r="H21" s="9">
        <v>8140</v>
      </c>
      <c r="I21" s="8">
        <v>754</v>
      </c>
    </row>
    <row r="22" spans="1:9" ht="16.5" thickBot="1" x14ac:dyDescent="0.3">
      <c r="A22" s="31" t="s">
        <v>10</v>
      </c>
      <c r="B22" s="23" t="s">
        <v>6</v>
      </c>
      <c r="C22" s="32">
        <f>SUM(C16:C21)</f>
        <v>127863</v>
      </c>
      <c r="D22" s="33">
        <f t="shared" ref="D22" si="2">SUM(D16:D21)</f>
        <v>350</v>
      </c>
      <c r="E22" s="32">
        <f>SUM(E16:E21)</f>
        <v>33059</v>
      </c>
      <c r="F22" s="32">
        <f>SUM(F16:F21)</f>
        <v>70283</v>
      </c>
      <c r="G22" s="32">
        <f>SUM(G16:G21)</f>
        <v>1061.3</v>
      </c>
      <c r="H22" s="33">
        <f t="shared" ref="H22" si="3">SUM(H16:H21)</f>
        <v>127810</v>
      </c>
      <c r="I22" s="32">
        <f>SUM(I16:I21)</f>
        <v>29620</v>
      </c>
    </row>
    <row r="23" spans="1:9" ht="15.75" x14ac:dyDescent="0.25">
      <c r="A23" s="25" t="s">
        <v>19</v>
      </c>
      <c r="B23" s="18" t="s">
        <v>0</v>
      </c>
      <c r="C23" s="27">
        <f>1392+2900</f>
        <v>4292</v>
      </c>
      <c r="D23" s="27">
        <v>0</v>
      </c>
      <c r="E23" s="27">
        <v>9606</v>
      </c>
      <c r="F23" s="30">
        <v>81</v>
      </c>
      <c r="G23" s="30">
        <v>0</v>
      </c>
      <c r="H23" s="30">
        <v>208</v>
      </c>
      <c r="I23" s="30">
        <v>1910</v>
      </c>
    </row>
    <row r="24" spans="1:9" ht="15.75" x14ac:dyDescent="0.25">
      <c r="A24" s="16" t="s">
        <v>19</v>
      </c>
      <c r="B24" s="3" t="s">
        <v>1</v>
      </c>
      <c r="C24" s="9">
        <f>102+48+480</f>
        <v>630</v>
      </c>
      <c r="D24" s="9">
        <v>0</v>
      </c>
      <c r="E24" s="9">
        <v>1606</v>
      </c>
      <c r="F24" s="12">
        <v>145</v>
      </c>
      <c r="G24" s="12">
        <v>58</v>
      </c>
      <c r="H24" s="12">
        <v>22</v>
      </c>
      <c r="I24" s="12">
        <v>1365</v>
      </c>
    </row>
    <row r="25" spans="1:9" ht="15.75" x14ac:dyDescent="0.25">
      <c r="A25" s="16" t="s">
        <v>19</v>
      </c>
      <c r="B25" s="3" t="s">
        <v>2</v>
      </c>
      <c r="C25" s="9">
        <v>1080</v>
      </c>
      <c r="D25" s="9">
        <v>0</v>
      </c>
      <c r="E25" s="9">
        <v>5555</v>
      </c>
      <c r="F25" s="9"/>
      <c r="G25" s="9">
        <v>0</v>
      </c>
      <c r="H25" s="9">
        <v>6</v>
      </c>
      <c r="I25" s="9">
        <v>6565</v>
      </c>
    </row>
    <row r="26" spans="1:9" ht="15.75" x14ac:dyDescent="0.25">
      <c r="A26" s="16" t="s">
        <v>19</v>
      </c>
      <c r="B26" s="3" t="s">
        <v>3</v>
      </c>
      <c r="C26" s="9">
        <f>1143+8600+13000</f>
        <v>22743</v>
      </c>
      <c r="D26" s="9">
        <v>0</v>
      </c>
      <c r="E26" s="9">
        <v>8064</v>
      </c>
      <c r="F26" s="9">
        <v>280</v>
      </c>
      <c r="G26" s="9">
        <v>60</v>
      </c>
      <c r="H26" s="9">
        <v>370</v>
      </c>
      <c r="I26" s="9">
        <v>17920</v>
      </c>
    </row>
    <row r="27" spans="1:9" ht="15.75" x14ac:dyDescent="0.25">
      <c r="A27" s="16" t="s">
        <v>19</v>
      </c>
      <c r="B27" s="3" t="s">
        <v>4</v>
      </c>
      <c r="C27" s="9">
        <f>12203+11920+50000+26220+96</f>
        <v>100439</v>
      </c>
      <c r="D27" s="9">
        <v>0</v>
      </c>
      <c r="E27" s="9">
        <v>2170</v>
      </c>
      <c r="F27" s="9">
        <v>3125.5</v>
      </c>
      <c r="G27" s="9">
        <v>20</v>
      </c>
      <c r="H27" s="9">
        <v>0</v>
      </c>
      <c r="I27" s="9">
        <v>2260</v>
      </c>
    </row>
    <row r="28" spans="1:9" ht="15.75" x14ac:dyDescent="0.25">
      <c r="A28" s="16" t="s">
        <v>19</v>
      </c>
      <c r="B28" s="3" t="s">
        <v>5</v>
      </c>
      <c r="C28" s="12">
        <f>252+340+540</f>
        <v>1132</v>
      </c>
      <c r="D28" s="12">
        <v>0</v>
      </c>
      <c r="E28" s="12">
        <v>2467</v>
      </c>
      <c r="F28" s="9">
        <v>32</v>
      </c>
      <c r="G28" s="9">
        <v>0</v>
      </c>
      <c r="H28" s="9">
        <v>10</v>
      </c>
      <c r="I28" s="9">
        <v>1360</v>
      </c>
    </row>
    <row r="29" spans="1:9" ht="15.75" x14ac:dyDescent="0.25">
      <c r="A29" s="16" t="s">
        <v>19</v>
      </c>
      <c r="B29" s="1" t="s">
        <v>6</v>
      </c>
      <c r="C29" s="13">
        <f>SUM(C23:C28)</f>
        <v>130316</v>
      </c>
      <c r="D29" s="13">
        <f t="shared" ref="D29" si="4">SUM(D23:D28)</f>
        <v>0</v>
      </c>
      <c r="E29" s="13">
        <f>SUM(E23:E28)</f>
        <v>29468</v>
      </c>
      <c r="F29" s="13">
        <f t="shared" ref="F29:H29" si="5">SUM(F23:F28)</f>
        <v>3663.5</v>
      </c>
      <c r="G29" s="13">
        <f t="shared" si="5"/>
        <v>138</v>
      </c>
      <c r="H29" s="13">
        <f t="shared" si="5"/>
        <v>616</v>
      </c>
      <c r="I29" s="13">
        <f t="shared" ref="I29" si="6">SUM(I23:I28)</f>
        <v>31380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user</cp:lastModifiedBy>
  <dcterms:created xsi:type="dcterms:W3CDTF">2015-06-05T18:19:34Z</dcterms:created>
  <dcterms:modified xsi:type="dcterms:W3CDTF">2025-04-14T14:38:05Z</dcterms:modified>
</cp:coreProperties>
</file>