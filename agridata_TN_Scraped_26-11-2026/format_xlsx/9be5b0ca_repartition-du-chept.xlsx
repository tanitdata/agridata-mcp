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9" i="1" l="1"/>
  <c r="G89" i="1"/>
  <c r="F89" i="1"/>
  <c r="E89" i="1"/>
  <c r="D89" i="1"/>
  <c r="C89" i="1"/>
  <c r="I33" i="1" l="1"/>
  <c r="I25" i="1"/>
  <c r="I17" i="1"/>
  <c r="I9" i="1"/>
  <c r="H33" i="1"/>
  <c r="H25" i="1"/>
  <c r="H17" i="1"/>
  <c r="H9" i="1"/>
  <c r="G33" i="1"/>
  <c r="G25" i="1"/>
  <c r="G17" i="1"/>
  <c r="G9" i="1"/>
  <c r="F33" i="1"/>
  <c r="F25" i="1"/>
  <c r="F17" i="1"/>
  <c r="F9" i="1"/>
  <c r="E33" i="1"/>
  <c r="E25" i="1"/>
  <c r="E17" i="1"/>
  <c r="E9" i="1"/>
  <c r="D33" i="1"/>
  <c r="D25" i="1"/>
  <c r="D17" i="1"/>
  <c r="D8" i="1"/>
  <c r="D9" i="1" s="1"/>
  <c r="C33" i="1"/>
  <c r="C25" i="1"/>
  <c r="C17" i="1"/>
  <c r="C9" i="1"/>
  <c r="H81" i="1" l="1"/>
  <c r="H73" i="1"/>
  <c r="H64" i="1"/>
  <c r="H62" i="1"/>
  <c r="H61" i="1"/>
  <c r="H60" i="1"/>
  <c r="H59" i="1"/>
  <c r="H57" i="1"/>
  <c r="H49" i="1"/>
  <c r="H41" i="1"/>
  <c r="G81" i="1"/>
  <c r="G73" i="1"/>
  <c r="G64" i="1"/>
  <c r="G62" i="1"/>
  <c r="G61" i="1"/>
  <c r="G60" i="1"/>
  <c r="G59" i="1"/>
  <c r="G57" i="1"/>
  <c r="G49" i="1"/>
  <c r="G41" i="1"/>
  <c r="F81" i="1"/>
  <c r="F73" i="1"/>
  <c r="F65" i="1"/>
  <c r="F57" i="1"/>
  <c r="F49" i="1"/>
  <c r="F41" i="1"/>
  <c r="E81" i="1"/>
  <c r="E73" i="1"/>
  <c r="E65" i="1"/>
  <c r="E57" i="1"/>
  <c r="E49" i="1"/>
  <c r="E41" i="1"/>
  <c r="D81" i="1"/>
  <c r="D73" i="1"/>
  <c r="D65" i="1"/>
  <c r="D57" i="1"/>
  <c r="D49" i="1"/>
  <c r="D41" i="1"/>
  <c r="G65" i="1" l="1"/>
  <c r="H65" i="1"/>
</calcChain>
</file>

<file path=xl/sharedStrings.xml><?xml version="1.0" encoding="utf-8"?>
<sst xmlns="http://schemas.openxmlformats.org/spreadsheetml/2006/main" count="102" uniqueCount="20">
  <si>
    <t>Annee</t>
  </si>
  <si>
    <t>Delegation</t>
  </si>
  <si>
    <t>أريانة المدينة</t>
  </si>
  <si>
    <t>سكرة</t>
  </si>
  <si>
    <t>رواد</t>
  </si>
  <si>
    <t>قلعة الأندلس</t>
  </si>
  <si>
    <t>سيدي ثابت</t>
  </si>
  <si>
    <t>حي التضامن</t>
  </si>
  <si>
    <t>المنيهلة</t>
  </si>
  <si>
    <t>المجمـوع</t>
  </si>
  <si>
    <t>Cuniculture_unites</t>
  </si>
  <si>
    <t>Aviculture_1000_unites</t>
  </si>
  <si>
    <t>Apiculture_ruches</t>
  </si>
  <si>
    <t xml:space="preserve"> Bovins_nombre_tete</t>
  </si>
  <si>
    <t>Ovins_nombre_tete</t>
  </si>
  <si>
    <t>caprins_nombre_tete</t>
  </si>
  <si>
    <t>Camelides_nombre_tete</t>
  </si>
  <si>
    <t>Code_geographique</t>
  </si>
  <si>
    <t>ـ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</si>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</sst>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Font="1" applyBorder="1"/>
    <xf numFmtId="0" fontId="1" fillId="0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  <xf numFmtId="0" fontId="3" fillId="0" borderId="2" xfId="0" applyFont="1" applyFill="1" applyBorder="1" applyAlignment="1">
      <alignment horizontal="center" vertical="center"/>
    </xf>
    <xf numFmtId="3" fontId="3" fillId="0" borderId="2" xfId="0" applyNumberFormat="1" applyFont="1" applyFill="1" applyBorder="1" applyAlignment="1">
      <alignment horizontal="center" vertical="center"/>
    </xf>
    <xf numFmtId="3" fontId="4" fillId="0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tabSelected="1" topLeftCell="A64" workbookViewId="0">
      <selection activeCell="I91" sqref="I91"/>
    </sheetView>
  </sheetViews>
  <sheetFormatPr baseColWidth="10" defaultColWidth="9.140625" defaultRowHeight="15" x14ac:dyDescent="0.25"/>
  <cols>
    <col min="2" max="2" width="16.85546875" customWidth="1"/>
    <col min="3" max="3" width="18.5703125" customWidth="1"/>
    <col min="4" max="4" width="22" customWidth="1"/>
    <col min="5" max="5" width="19.42578125" customWidth="1"/>
    <col min="6" max="6" width="17.7109375" customWidth="1"/>
    <col min="7" max="7" width="18" customWidth="1"/>
    <col min="8" max="8" width="13" customWidth="1"/>
    <col min="9" max="9" width="14.5703125" customWidth="1"/>
    <col min="10" max="10" width="22.28515625" customWidth="1"/>
  </cols>
  <sheetData>
    <row r="1" spans="1:10" ht="15.75" thickBot="1" x14ac:dyDescent="0.3">
      <c r="A1" s="1" t="s">
        <v>0</v>
      </c>
      <c r="B1" s="1" t="s">
        <v>1</v>
      </c>
      <c r="C1" t="s">
        <v>11</v>
      </c>
      <c r="D1" t="s">
        <v>10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s="1" t="s">
        <v>17</v>
      </c>
    </row>
    <row r="2" spans="1:10" ht="16.5" thickBot="1" x14ac:dyDescent="0.3">
      <c r="A2">
        <v>2014</v>
      </c>
      <c r="B2" s="2" t="s">
        <v>2</v>
      </c>
      <c r="C2" s="4">
        <v>0</v>
      </c>
      <c r="D2" s="4">
        <v>0</v>
      </c>
      <c r="E2" s="4">
        <v>0</v>
      </c>
      <c r="F2" s="6" t="s">
        <v>19</v>
      </c>
      <c r="G2" s="7">
        <v>0</v>
      </c>
      <c r="H2" s="7">
        <v>0</v>
      </c>
      <c r="I2" s="7">
        <v>0</v>
      </c>
      <c r="J2" s="8">
        <v>1251</v>
      </c>
    </row>
    <row r="3" spans="1:10" ht="16.5" thickBot="1" x14ac:dyDescent="0.3">
      <c r="A3">
        <v>2014</v>
      </c>
      <c r="B3" s="2" t="s">
        <v>3</v>
      </c>
      <c r="C3" s="5">
        <v>0</v>
      </c>
      <c r="D3" s="5">
        <v>50</v>
      </c>
      <c r="E3" s="5" t="s">
        <v>18</v>
      </c>
      <c r="F3" s="7">
        <v>4040.3225806451615</v>
      </c>
      <c r="G3" s="7">
        <v>359.12118032786884</v>
      </c>
      <c r="H3" s="7">
        <v>0</v>
      </c>
      <c r="I3" s="7">
        <v>0</v>
      </c>
      <c r="J3" s="8">
        <v>1252</v>
      </c>
    </row>
    <row r="4" spans="1:10" ht="16.5" thickBot="1" x14ac:dyDescent="0.3">
      <c r="A4">
        <v>2014</v>
      </c>
      <c r="B4" s="2" t="s">
        <v>4</v>
      </c>
      <c r="C4" s="5">
        <v>26</v>
      </c>
      <c r="D4" s="5">
        <v>100</v>
      </c>
      <c r="E4" s="5">
        <v>311.11111111111109</v>
      </c>
      <c r="F4" s="7">
        <v>3595.8870967741937</v>
      </c>
      <c r="G4" s="7">
        <v>2956.8360655737706</v>
      </c>
      <c r="H4" s="7">
        <v>355.55555555555554</v>
      </c>
      <c r="I4" s="7">
        <v>0</v>
      </c>
      <c r="J4" s="8">
        <v>1253</v>
      </c>
    </row>
    <row r="5" spans="1:10" ht="16.5" thickBot="1" x14ac:dyDescent="0.3">
      <c r="A5">
        <v>2014</v>
      </c>
      <c r="B5" s="2" t="s">
        <v>5</v>
      </c>
      <c r="C5" s="5">
        <v>10.275229357798166</v>
      </c>
      <c r="D5" s="5">
        <v>150</v>
      </c>
      <c r="E5" s="5">
        <v>933.33333333333337</v>
      </c>
      <c r="F5" s="7">
        <v>10999.778225806451</v>
      </c>
      <c r="G5" s="7">
        <v>17458.235344262295</v>
      </c>
      <c r="H5" s="7">
        <v>1422.2222222222222</v>
      </c>
      <c r="I5" s="7">
        <v>0</v>
      </c>
      <c r="J5" s="8">
        <v>1254</v>
      </c>
    </row>
    <row r="6" spans="1:10" ht="16.5" thickBot="1" x14ac:dyDescent="0.3">
      <c r="A6">
        <v>2014</v>
      </c>
      <c r="B6" s="2" t="s">
        <v>6</v>
      </c>
      <c r="C6" s="5">
        <v>284</v>
      </c>
      <c r="D6" s="5">
        <v>200</v>
      </c>
      <c r="E6" s="5">
        <v>1244.4444444444443</v>
      </c>
      <c r="F6" s="7">
        <v>5643.3205645161288</v>
      </c>
      <c r="G6" s="7">
        <v>10552.141508196721</v>
      </c>
      <c r="H6" s="7">
        <v>1244.4444444444443</v>
      </c>
      <c r="I6" s="7">
        <v>0</v>
      </c>
      <c r="J6" s="8">
        <v>1255</v>
      </c>
    </row>
    <row r="7" spans="1:10" ht="16.5" thickBot="1" x14ac:dyDescent="0.3">
      <c r="A7">
        <v>2014</v>
      </c>
      <c r="B7" s="2" t="s">
        <v>7</v>
      </c>
      <c r="C7" s="4">
        <v>0</v>
      </c>
      <c r="D7" s="4">
        <v>0</v>
      </c>
      <c r="E7" s="4">
        <v>0</v>
      </c>
      <c r="F7" s="7">
        <v>0</v>
      </c>
      <c r="G7" s="7">
        <v>0</v>
      </c>
      <c r="H7" s="7">
        <v>0</v>
      </c>
      <c r="I7" s="7">
        <v>0</v>
      </c>
      <c r="J7" s="8">
        <v>1256</v>
      </c>
    </row>
    <row r="8" spans="1:10" ht="16.5" thickBot="1" x14ac:dyDescent="0.3">
      <c r="A8">
        <v>2014</v>
      </c>
      <c r="B8" s="2" t="s">
        <v>8</v>
      </c>
      <c r="C8" s="5" t="s">
        <v>18</v>
      </c>
      <c r="D8" s="5">
        <f>-D14495</f>
        <v>0</v>
      </c>
      <c r="E8" s="5">
        <v>311.11111111111109</v>
      </c>
      <c r="F8" s="7">
        <v>770.69153225806451</v>
      </c>
      <c r="G8" s="7">
        <v>1467.6659016393442</v>
      </c>
      <c r="H8" s="7">
        <v>177.77777777777777</v>
      </c>
      <c r="I8" s="7">
        <v>0</v>
      </c>
      <c r="J8" s="8">
        <v>1257</v>
      </c>
    </row>
    <row r="9" spans="1:10" ht="16.5" thickBot="1" x14ac:dyDescent="0.3">
      <c r="A9">
        <v>2014</v>
      </c>
      <c r="B9" s="3" t="s">
        <v>9</v>
      </c>
      <c r="C9" s="5">
        <f t="shared" ref="C9:I9" si="0">SUM(C2:C8)</f>
        <v>320.27522935779814</v>
      </c>
      <c r="D9" s="5">
        <f t="shared" si="0"/>
        <v>500</v>
      </c>
      <c r="E9" s="5">
        <f t="shared" si="0"/>
        <v>2800</v>
      </c>
      <c r="F9" s="6">
        <f t="shared" si="0"/>
        <v>25050</v>
      </c>
      <c r="G9" s="6">
        <f t="shared" si="0"/>
        <v>32794</v>
      </c>
      <c r="H9" s="6">
        <f t="shared" si="0"/>
        <v>3200</v>
      </c>
      <c r="I9" s="6">
        <f t="shared" si="0"/>
        <v>0</v>
      </c>
      <c r="J9" s="9"/>
    </row>
    <row r="10" spans="1:10" ht="16.5" thickBot="1" x14ac:dyDescent="0.3">
      <c r="A10">
        <v>2015</v>
      </c>
      <c r="B10" s="2" t="s">
        <v>2</v>
      </c>
      <c r="C10" s="4">
        <v>0</v>
      </c>
      <c r="D10" s="4">
        <v>0</v>
      </c>
      <c r="E10" s="4">
        <v>0</v>
      </c>
      <c r="F10" s="6">
        <v>0</v>
      </c>
      <c r="G10" s="7">
        <v>0</v>
      </c>
      <c r="H10" s="7">
        <v>0</v>
      </c>
      <c r="I10" s="7">
        <v>0</v>
      </c>
      <c r="J10" s="8">
        <v>1251</v>
      </c>
    </row>
    <row r="11" spans="1:10" ht="16.5" thickBot="1" x14ac:dyDescent="0.3">
      <c r="A11">
        <v>2015</v>
      </c>
      <c r="B11" s="2" t="s">
        <v>3</v>
      </c>
      <c r="C11" s="5">
        <v>3.5</v>
      </c>
      <c r="D11" s="5">
        <v>40</v>
      </c>
      <c r="E11" s="5">
        <v>1395</v>
      </c>
      <c r="F11" s="7">
        <v>1500</v>
      </c>
      <c r="G11" s="7">
        <v>400</v>
      </c>
      <c r="H11" s="7">
        <v>0</v>
      </c>
      <c r="I11" s="7">
        <v>0</v>
      </c>
      <c r="J11" s="8">
        <v>1252</v>
      </c>
    </row>
    <row r="12" spans="1:10" ht="16.5" thickBot="1" x14ac:dyDescent="0.3">
      <c r="A12">
        <v>2015</v>
      </c>
      <c r="B12" s="2" t="s">
        <v>4</v>
      </c>
      <c r="C12" s="5">
        <v>0</v>
      </c>
      <c r="D12" s="5">
        <v>0</v>
      </c>
      <c r="E12" s="5">
        <v>1518</v>
      </c>
      <c r="F12" s="7">
        <v>3470</v>
      </c>
      <c r="G12" s="7">
        <v>1400</v>
      </c>
      <c r="H12" s="7">
        <v>300</v>
      </c>
      <c r="I12" s="7">
        <v>0</v>
      </c>
      <c r="J12" s="8">
        <v>1253</v>
      </c>
    </row>
    <row r="13" spans="1:10" ht="16.5" thickBot="1" x14ac:dyDescent="0.3">
      <c r="A13">
        <v>2015</v>
      </c>
      <c r="B13" s="2" t="s">
        <v>5</v>
      </c>
      <c r="C13" s="5">
        <v>0</v>
      </c>
      <c r="D13" s="5">
        <v>0</v>
      </c>
      <c r="E13" s="5">
        <v>35</v>
      </c>
      <c r="F13" s="7">
        <v>13000</v>
      </c>
      <c r="G13" s="7">
        <v>17270</v>
      </c>
      <c r="H13" s="7">
        <v>800</v>
      </c>
      <c r="I13" s="7">
        <v>0</v>
      </c>
      <c r="J13" s="8">
        <v>1254</v>
      </c>
    </row>
    <row r="14" spans="1:10" ht="16.5" thickBot="1" x14ac:dyDescent="0.3">
      <c r="A14">
        <v>2015</v>
      </c>
      <c r="B14" s="2" t="s">
        <v>6</v>
      </c>
      <c r="C14" s="5">
        <v>1513</v>
      </c>
      <c r="D14" s="5">
        <v>0</v>
      </c>
      <c r="E14" s="5">
        <v>564</v>
      </c>
      <c r="F14" s="7">
        <v>5600</v>
      </c>
      <c r="G14" s="7">
        <v>11000</v>
      </c>
      <c r="H14" s="7">
        <v>1000</v>
      </c>
      <c r="I14" s="7">
        <v>0</v>
      </c>
      <c r="J14" s="8">
        <v>1255</v>
      </c>
    </row>
    <row r="15" spans="1:10" ht="16.5" thickBot="1" x14ac:dyDescent="0.3">
      <c r="A15">
        <v>2015</v>
      </c>
      <c r="B15" s="2" t="s">
        <v>7</v>
      </c>
      <c r="C15" s="4">
        <v>0</v>
      </c>
      <c r="D15" s="4">
        <v>0</v>
      </c>
      <c r="E15" s="4">
        <v>0</v>
      </c>
      <c r="F15" s="7">
        <v>0</v>
      </c>
      <c r="G15" s="7">
        <v>0</v>
      </c>
      <c r="H15" s="7">
        <v>0</v>
      </c>
      <c r="I15" s="7">
        <v>0</v>
      </c>
      <c r="J15" s="8">
        <v>1256</v>
      </c>
    </row>
    <row r="16" spans="1:10" ht="16.5" thickBot="1" x14ac:dyDescent="0.3">
      <c r="A16">
        <v>2015</v>
      </c>
      <c r="B16" s="2" t="s">
        <v>8</v>
      </c>
      <c r="C16" s="5">
        <v>0</v>
      </c>
      <c r="D16" s="5" t="s">
        <v>18</v>
      </c>
      <c r="E16" s="5">
        <v>200</v>
      </c>
      <c r="F16" s="7">
        <v>1030</v>
      </c>
      <c r="G16" s="7">
        <v>980</v>
      </c>
      <c r="H16" s="7">
        <v>50</v>
      </c>
      <c r="I16" s="7">
        <v>0</v>
      </c>
      <c r="J16" s="8">
        <v>1257</v>
      </c>
    </row>
    <row r="17" spans="1:10" ht="16.5" thickBot="1" x14ac:dyDescent="0.3">
      <c r="A17">
        <v>2015</v>
      </c>
      <c r="B17" s="3" t="s">
        <v>9</v>
      </c>
      <c r="C17" s="5">
        <f t="shared" ref="C17:I17" si="1">SUM(C10:C16)</f>
        <v>1516.5</v>
      </c>
      <c r="D17" s="5">
        <f t="shared" si="1"/>
        <v>40</v>
      </c>
      <c r="E17" s="5">
        <f t="shared" si="1"/>
        <v>3712</v>
      </c>
      <c r="F17" s="6">
        <f t="shared" si="1"/>
        <v>24600</v>
      </c>
      <c r="G17" s="6">
        <f t="shared" si="1"/>
        <v>31050</v>
      </c>
      <c r="H17" s="6">
        <f t="shared" si="1"/>
        <v>2150</v>
      </c>
      <c r="I17" s="6">
        <f t="shared" si="1"/>
        <v>0</v>
      </c>
      <c r="J17" s="9"/>
    </row>
    <row r="18" spans="1:10" ht="16.5" thickBot="1" x14ac:dyDescent="0.3">
      <c r="A18">
        <v>2016</v>
      </c>
      <c r="B18" s="2" t="s">
        <v>2</v>
      </c>
      <c r="C18" s="4">
        <v>0</v>
      </c>
      <c r="D18" s="4">
        <v>0</v>
      </c>
      <c r="E18" s="4">
        <v>0</v>
      </c>
      <c r="F18" s="6">
        <v>0</v>
      </c>
      <c r="G18" s="7">
        <v>0</v>
      </c>
      <c r="H18" s="7">
        <v>0</v>
      </c>
      <c r="I18" s="7">
        <v>0</v>
      </c>
      <c r="J18" s="8">
        <v>1251</v>
      </c>
    </row>
    <row r="19" spans="1:10" ht="16.5" thickBot="1" x14ac:dyDescent="0.3">
      <c r="A19">
        <v>2016</v>
      </c>
      <c r="B19" s="2" t="s">
        <v>3</v>
      </c>
      <c r="C19" s="5">
        <v>4</v>
      </c>
      <c r="D19" s="5">
        <v>0</v>
      </c>
      <c r="E19" s="5">
        <v>800</v>
      </c>
      <c r="F19" s="7">
        <v>1840</v>
      </c>
      <c r="G19" s="7">
        <v>334</v>
      </c>
      <c r="H19" s="7">
        <v>150</v>
      </c>
      <c r="I19" s="7">
        <v>0</v>
      </c>
      <c r="J19" s="8">
        <v>1252</v>
      </c>
    </row>
    <row r="20" spans="1:10" ht="16.5" thickBot="1" x14ac:dyDescent="0.3">
      <c r="A20">
        <v>2016</v>
      </c>
      <c r="B20" s="2" t="s">
        <v>4</v>
      </c>
      <c r="C20" s="5">
        <v>0</v>
      </c>
      <c r="D20" s="5">
        <v>0</v>
      </c>
      <c r="E20" s="5">
        <v>400</v>
      </c>
      <c r="F20" s="7">
        <v>2450</v>
      </c>
      <c r="G20" s="7">
        <v>2750</v>
      </c>
      <c r="H20" s="7">
        <v>150</v>
      </c>
      <c r="I20" s="7">
        <v>0</v>
      </c>
      <c r="J20" s="8">
        <v>1253</v>
      </c>
    </row>
    <row r="21" spans="1:10" ht="16.5" thickBot="1" x14ac:dyDescent="0.3">
      <c r="A21">
        <v>2016</v>
      </c>
      <c r="B21" s="2" t="s">
        <v>5</v>
      </c>
      <c r="C21" s="5">
        <v>0</v>
      </c>
      <c r="D21" s="5">
        <v>0</v>
      </c>
      <c r="E21" s="5">
        <v>400</v>
      </c>
      <c r="F21" s="7">
        <v>13960</v>
      </c>
      <c r="G21" s="7">
        <v>19387</v>
      </c>
      <c r="H21" s="7">
        <v>968</v>
      </c>
      <c r="I21" s="7">
        <v>0</v>
      </c>
      <c r="J21" s="8">
        <v>1254</v>
      </c>
    </row>
    <row r="22" spans="1:10" ht="16.5" thickBot="1" x14ac:dyDescent="0.3">
      <c r="A22">
        <v>2016</v>
      </c>
      <c r="B22" s="2" t="s">
        <v>6</v>
      </c>
      <c r="C22" s="5">
        <v>1996</v>
      </c>
      <c r="D22" s="5">
        <v>0</v>
      </c>
      <c r="E22" s="5">
        <v>1050</v>
      </c>
      <c r="F22" s="7">
        <v>5290</v>
      </c>
      <c r="G22" s="7">
        <v>8564</v>
      </c>
      <c r="H22" s="7">
        <v>661</v>
      </c>
      <c r="I22" s="7">
        <v>0</v>
      </c>
      <c r="J22" s="8">
        <v>1255</v>
      </c>
    </row>
    <row r="23" spans="1:10" ht="16.5" thickBot="1" x14ac:dyDescent="0.3">
      <c r="A23">
        <v>2016</v>
      </c>
      <c r="B23" s="2" t="s">
        <v>7</v>
      </c>
      <c r="C23" s="4">
        <v>0</v>
      </c>
      <c r="D23" s="4">
        <v>0</v>
      </c>
      <c r="E23" s="4">
        <v>0</v>
      </c>
      <c r="F23" s="7">
        <v>0</v>
      </c>
      <c r="G23" s="7">
        <v>0</v>
      </c>
      <c r="H23" s="7">
        <v>0</v>
      </c>
      <c r="I23" s="7">
        <v>0</v>
      </c>
      <c r="J23" s="8">
        <v>1256</v>
      </c>
    </row>
    <row r="24" spans="1:10" ht="16.5" thickBot="1" x14ac:dyDescent="0.3">
      <c r="A24">
        <v>2016</v>
      </c>
      <c r="B24" s="2" t="s">
        <v>8</v>
      </c>
      <c r="C24" s="5">
        <v>0</v>
      </c>
      <c r="D24" s="5">
        <v>0</v>
      </c>
      <c r="E24" s="5">
        <v>150</v>
      </c>
      <c r="F24" s="7">
        <v>1360</v>
      </c>
      <c r="G24" s="7">
        <v>1365</v>
      </c>
      <c r="H24" s="7">
        <v>71</v>
      </c>
      <c r="I24" s="7">
        <v>0</v>
      </c>
      <c r="J24" s="8">
        <v>1257</v>
      </c>
    </row>
    <row r="25" spans="1:10" ht="16.5" thickBot="1" x14ac:dyDescent="0.3">
      <c r="A25">
        <v>2016</v>
      </c>
      <c r="B25" s="3" t="s">
        <v>9</v>
      </c>
      <c r="C25" s="5">
        <f t="shared" ref="C25:I25" si="2">SUM(C18:C24)</f>
        <v>2000</v>
      </c>
      <c r="D25" s="5">
        <f t="shared" si="2"/>
        <v>0</v>
      </c>
      <c r="E25" s="5">
        <f t="shared" si="2"/>
        <v>2800</v>
      </c>
      <c r="F25" s="6">
        <f t="shared" si="2"/>
        <v>24900</v>
      </c>
      <c r="G25" s="6">
        <f t="shared" si="2"/>
        <v>32400</v>
      </c>
      <c r="H25" s="6">
        <f t="shared" si="2"/>
        <v>2000</v>
      </c>
      <c r="I25" s="6">
        <f t="shared" si="2"/>
        <v>0</v>
      </c>
      <c r="J25" s="9"/>
    </row>
    <row r="26" spans="1:10" ht="16.5" thickBot="1" x14ac:dyDescent="0.3">
      <c r="A26">
        <v>2017</v>
      </c>
      <c r="B26" s="2" t="s">
        <v>2</v>
      </c>
      <c r="C26" s="4">
        <v>0</v>
      </c>
      <c r="D26" s="4">
        <v>0</v>
      </c>
      <c r="E26" s="4">
        <v>0</v>
      </c>
      <c r="F26" s="6">
        <v>20</v>
      </c>
      <c r="G26" s="7">
        <v>200</v>
      </c>
      <c r="H26" s="7">
        <v>0</v>
      </c>
      <c r="I26" s="7">
        <v>0</v>
      </c>
      <c r="J26" s="8">
        <v>1251</v>
      </c>
    </row>
    <row r="27" spans="1:10" ht="16.5" thickBot="1" x14ac:dyDescent="0.3">
      <c r="A27">
        <v>2017</v>
      </c>
      <c r="B27" s="2" t="s">
        <v>3</v>
      </c>
      <c r="C27" s="5">
        <v>0</v>
      </c>
      <c r="D27" s="5">
        <v>0</v>
      </c>
      <c r="E27" s="5">
        <v>1200</v>
      </c>
      <c r="F27" s="7">
        <v>1900</v>
      </c>
      <c r="G27" s="7">
        <v>1000</v>
      </c>
      <c r="H27" s="7">
        <v>200</v>
      </c>
      <c r="I27" s="7">
        <v>0</v>
      </c>
      <c r="J27" s="8">
        <v>1252</v>
      </c>
    </row>
    <row r="28" spans="1:10" ht="16.5" thickBot="1" x14ac:dyDescent="0.3">
      <c r="A28">
        <v>2017</v>
      </c>
      <c r="B28" s="2" t="s">
        <v>4</v>
      </c>
      <c r="C28" s="5">
        <v>0</v>
      </c>
      <c r="D28" s="5">
        <v>0</v>
      </c>
      <c r="E28" s="5">
        <v>850</v>
      </c>
      <c r="F28" s="7">
        <v>2000</v>
      </c>
      <c r="G28" s="7">
        <v>2000</v>
      </c>
      <c r="H28" s="7">
        <v>200</v>
      </c>
      <c r="I28" s="7">
        <v>0</v>
      </c>
      <c r="J28" s="8">
        <v>1253</v>
      </c>
    </row>
    <row r="29" spans="1:10" ht="16.5" thickBot="1" x14ac:dyDescent="0.3">
      <c r="A29">
        <v>2017</v>
      </c>
      <c r="B29" s="2" t="s">
        <v>5</v>
      </c>
      <c r="C29" s="5">
        <v>0</v>
      </c>
      <c r="D29" s="5">
        <v>0</v>
      </c>
      <c r="E29" s="5">
        <v>700</v>
      </c>
      <c r="F29" s="7">
        <v>12000</v>
      </c>
      <c r="G29" s="7">
        <v>15500</v>
      </c>
      <c r="H29" s="7">
        <v>1080</v>
      </c>
      <c r="I29" s="7">
        <v>0</v>
      </c>
      <c r="J29" s="8">
        <v>1254</v>
      </c>
    </row>
    <row r="30" spans="1:10" ht="16.5" thickBot="1" x14ac:dyDescent="0.3">
      <c r="A30">
        <v>2017</v>
      </c>
      <c r="B30" s="2" t="s">
        <v>6</v>
      </c>
      <c r="C30" s="5">
        <v>1613</v>
      </c>
      <c r="D30" s="5">
        <v>200</v>
      </c>
      <c r="E30" s="5">
        <v>1592</v>
      </c>
      <c r="F30" s="7">
        <v>3395</v>
      </c>
      <c r="G30" s="7">
        <v>10315</v>
      </c>
      <c r="H30" s="7">
        <v>711</v>
      </c>
      <c r="I30" s="7">
        <v>0</v>
      </c>
      <c r="J30" s="8">
        <v>1255</v>
      </c>
    </row>
    <row r="31" spans="1:10" ht="16.5" thickBot="1" x14ac:dyDescent="0.3">
      <c r="A31">
        <v>2017</v>
      </c>
      <c r="B31" s="2" t="s">
        <v>7</v>
      </c>
      <c r="C31" s="4">
        <v>0</v>
      </c>
      <c r="D31" s="4">
        <v>0</v>
      </c>
      <c r="E31" s="4">
        <v>0</v>
      </c>
      <c r="F31" s="7">
        <v>50</v>
      </c>
      <c r="G31" s="7">
        <v>85</v>
      </c>
      <c r="H31" s="7">
        <v>0</v>
      </c>
      <c r="I31" s="7">
        <v>0</v>
      </c>
      <c r="J31" s="8">
        <v>1256</v>
      </c>
    </row>
    <row r="32" spans="1:10" ht="16.5" thickBot="1" x14ac:dyDescent="0.3">
      <c r="A32">
        <v>2017</v>
      </c>
      <c r="B32" s="2" t="s">
        <v>8</v>
      </c>
      <c r="C32" s="5">
        <v>0</v>
      </c>
      <c r="D32" s="5">
        <v>0</v>
      </c>
      <c r="E32" s="5">
        <v>150</v>
      </c>
      <c r="F32" s="7">
        <v>635</v>
      </c>
      <c r="G32" s="7">
        <v>850</v>
      </c>
      <c r="H32" s="7">
        <v>59</v>
      </c>
      <c r="I32" s="7">
        <v>0</v>
      </c>
      <c r="J32" s="8">
        <v>1257</v>
      </c>
    </row>
    <row r="33" spans="1:10" ht="16.5" thickBot="1" x14ac:dyDescent="0.3">
      <c r="A33">
        <v>2017</v>
      </c>
      <c r="B33" s="3" t="s">
        <v>9</v>
      </c>
      <c r="C33" s="5">
        <f t="shared" ref="C33:I33" si="3">SUM(C26:C32)</f>
        <v>1613</v>
      </c>
      <c r="D33" s="5">
        <f t="shared" si="3"/>
        <v>200</v>
      </c>
      <c r="E33" s="5">
        <f t="shared" si="3"/>
        <v>4492</v>
      </c>
      <c r="F33" s="6">
        <f t="shared" si="3"/>
        <v>20000</v>
      </c>
      <c r="G33" s="6">
        <f t="shared" si="3"/>
        <v>29950</v>
      </c>
      <c r="H33" s="6">
        <f t="shared" si="3"/>
        <v>2250</v>
      </c>
      <c r="I33" s="6">
        <f t="shared" si="3"/>
        <v>0</v>
      </c>
      <c r="J33" s="9"/>
    </row>
    <row r="34" spans="1:10" ht="16.5" thickBot="1" x14ac:dyDescent="0.3">
      <c r="A34" s="1">
        <v>2018</v>
      </c>
      <c r="B34" s="2" t="s">
        <v>2</v>
      </c>
      <c r="C34" s="4">
        <v>0</v>
      </c>
      <c r="D34" s="4">
        <v>0</v>
      </c>
      <c r="E34" s="4">
        <v>0</v>
      </c>
      <c r="F34" s="6">
        <v>15</v>
      </c>
      <c r="G34" s="7">
        <v>0</v>
      </c>
      <c r="H34" s="7">
        <v>0</v>
      </c>
      <c r="I34" s="7">
        <v>0</v>
      </c>
      <c r="J34" s="8">
        <v>1251</v>
      </c>
    </row>
    <row r="35" spans="1:10" ht="16.5" thickBot="1" x14ac:dyDescent="0.3">
      <c r="A35" s="1">
        <v>2018</v>
      </c>
      <c r="B35" s="2" t="s">
        <v>3</v>
      </c>
      <c r="C35" s="5">
        <v>0</v>
      </c>
      <c r="D35" s="5">
        <v>0</v>
      </c>
      <c r="E35" s="5">
        <v>1200</v>
      </c>
      <c r="F35" s="7">
        <v>1425</v>
      </c>
      <c r="G35" s="7">
        <v>2250</v>
      </c>
      <c r="H35" s="7">
        <v>200</v>
      </c>
      <c r="I35" s="7">
        <v>0</v>
      </c>
      <c r="J35" s="8">
        <v>1252</v>
      </c>
    </row>
    <row r="36" spans="1:10" ht="16.5" thickBot="1" x14ac:dyDescent="0.3">
      <c r="A36" s="1">
        <v>2018</v>
      </c>
      <c r="B36" s="2" t="s">
        <v>4</v>
      </c>
      <c r="C36" s="5">
        <v>0</v>
      </c>
      <c r="D36" s="5">
        <v>0</v>
      </c>
      <c r="E36" s="5">
        <v>850</v>
      </c>
      <c r="F36" s="7">
        <v>1500</v>
      </c>
      <c r="G36" s="7">
        <v>4900</v>
      </c>
      <c r="H36" s="7">
        <v>200</v>
      </c>
      <c r="I36" s="7">
        <v>0</v>
      </c>
      <c r="J36" s="8">
        <v>1253</v>
      </c>
    </row>
    <row r="37" spans="1:10" ht="16.5" thickBot="1" x14ac:dyDescent="0.3">
      <c r="A37" s="1">
        <v>2018</v>
      </c>
      <c r="B37" s="2" t="s">
        <v>5</v>
      </c>
      <c r="C37" s="5">
        <v>0</v>
      </c>
      <c r="D37" s="5">
        <v>0</v>
      </c>
      <c r="E37" s="5">
        <v>775</v>
      </c>
      <c r="F37" s="7">
        <v>9000</v>
      </c>
      <c r="G37" s="7">
        <v>15000</v>
      </c>
      <c r="H37" s="7">
        <v>1100</v>
      </c>
      <c r="I37" s="7">
        <v>0</v>
      </c>
      <c r="J37" s="8">
        <v>1254</v>
      </c>
    </row>
    <row r="38" spans="1:10" ht="16.5" thickBot="1" x14ac:dyDescent="0.3">
      <c r="A38" s="1">
        <v>2018</v>
      </c>
      <c r="B38" s="2" t="s">
        <v>6</v>
      </c>
      <c r="C38" s="5">
        <v>2000</v>
      </c>
      <c r="D38" s="5">
        <v>0</v>
      </c>
      <c r="E38" s="5">
        <v>1592</v>
      </c>
      <c r="F38" s="7">
        <v>2545</v>
      </c>
      <c r="G38" s="7">
        <v>9700</v>
      </c>
      <c r="H38" s="7">
        <v>700</v>
      </c>
      <c r="I38" s="7">
        <v>0</v>
      </c>
      <c r="J38" s="8">
        <v>1255</v>
      </c>
    </row>
    <row r="39" spans="1:10" ht="16.5" thickBot="1" x14ac:dyDescent="0.3">
      <c r="A39" s="1">
        <v>2018</v>
      </c>
      <c r="B39" s="2" t="s">
        <v>7</v>
      </c>
      <c r="C39" s="4">
        <v>0</v>
      </c>
      <c r="D39" s="4">
        <v>0</v>
      </c>
      <c r="E39" s="4">
        <v>0</v>
      </c>
      <c r="F39" s="7">
        <v>0</v>
      </c>
      <c r="G39" s="7">
        <v>0</v>
      </c>
      <c r="H39" s="7">
        <v>0</v>
      </c>
      <c r="I39" s="7">
        <v>0</v>
      </c>
      <c r="J39" s="8">
        <v>1256</v>
      </c>
    </row>
    <row r="40" spans="1:10" ht="16.5" thickBot="1" x14ac:dyDescent="0.3">
      <c r="A40" s="1">
        <v>2018</v>
      </c>
      <c r="B40" s="2" t="s">
        <v>8</v>
      </c>
      <c r="C40" s="5">
        <v>0</v>
      </c>
      <c r="D40" s="5">
        <v>0</v>
      </c>
      <c r="E40" s="5">
        <v>150</v>
      </c>
      <c r="F40" s="7">
        <v>515</v>
      </c>
      <c r="G40" s="7">
        <v>2650</v>
      </c>
      <c r="H40" s="7">
        <v>50</v>
      </c>
      <c r="I40" s="7">
        <v>0</v>
      </c>
      <c r="J40" s="8">
        <v>1257</v>
      </c>
    </row>
    <row r="41" spans="1:10" ht="16.5" thickBot="1" x14ac:dyDescent="0.3">
      <c r="A41" s="1">
        <v>2018</v>
      </c>
      <c r="B41" s="3" t="s">
        <v>9</v>
      </c>
      <c r="C41" s="5">
        <v>2000</v>
      </c>
      <c r="D41" s="5">
        <f t="shared" ref="D41:E41" si="4">SUM(D34:D40)</f>
        <v>0</v>
      </c>
      <c r="E41" s="5">
        <f t="shared" si="4"/>
        <v>4567</v>
      </c>
      <c r="F41" s="6">
        <f t="shared" ref="F41:H41" si="5">SUM(F34:F40)</f>
        <v>15000</v>
      </c>
      <c r="G41" s="6">
        <f t="shared" si="5"/>
        <v>34500</v>
      </c>
      <c r="H41" s="6">
        <f t="shared" si="5"/>
        <v>2250</v>
      </c>
      <c r="I41" s="7">
        <v>0</v>
      </c>
      <c r="J41" s="9"/>
    </row>
    <row r="42" spans="1:10" ht="16.5" thickBot="1" x14ac:dyDescent="0.3">
      <c r="A42" s="1">
        <v>2019</v>
      </c>
      <c r="B42" s="2" t="s">
        <v>2</v>
      </c>
      <c r="C42" s="4">
        <v>0</v>
      </c>
      <c r="D42" s="4">
        <v>0</v>
      </c>
      <c r="E42" s="4">
        <v>0</v>
      </c>
      <c r="F42" s="6">
        <v>0</v>
      </c>
      <c r="G42" s="7">
        <v>0</v>
      </c>
      <c r="H42" s="7">
        <v>0</v>
      </c>
      <c r="I42" s="7">
        <v>0</v>
      </c>
      <c r="J42" s="8">
        <v>1251</v>
      </c>
    </row>
    <row r="43" spans="1:10" ht="16.5" thickBot="1" x14ac:dyDescent="0.3">
      <c r="A43" s="1">
        <v>2019</v>
      </c>
      <c r="B43" s="2" t="s">
        <v>3</v>
      </c>
      <c r="C43" s="5">
        <v>0</v>
      </c>
      <c r="D43" s="5">
        <v>0</v>
      </c>
      <c r="E43" s="5">
        <v>1200</v>
      </c>
      <c r="F43" s="7">
        <v>1310</v>
      </c>
      <c r="G43" s="7">
        <v>818</v>
      </c>
      <c r="H43" s="7">
        <v>211</v>
      </c>
      <c r="I43" s="7">
        <v>0</v>
      </c>
      <c r="J43" s="8">
        <v>1252</v>
      </c>
    </row>
    <row r="44" spans="1:10" ht="16.5" thickBot="1" x14ac:dyDescent="0.3">
      <c r="A44" s="1">
        <v>2019</v>
      </c>
      <c r="B44" s="2" t="s">
        <v>4</v>
      </c>
      <c r="C44" s="5">
        <v>0</v>
      </c>
      <c r="D44" s="5">
        <v>0</v>
      </c>
      <c r="E44" s="5">
        <v>850</v>
      </c>
      <c r="F44" s="7">
        <v>1900</v>
      </c>
      <c r="G44" s="7">
        <v>4211</v>
      </c>
      <c r="H44" s="7">
        <v>227</v>
      </c>
      <c r="I44" s="7">
        <v>0</v>
      </c>
      <c r="J44" s="8">
        <v>1253</v>
      </c>
    </row>
    <row r="45" spans="1:10" ht="16.5" thickBot="1" x14ac:dyDescent="0.3">
      <c r="A45" s="1">
        <v>2019</v>
      </c>
      <c r="B45" s="2" t="s">
        <v>5</v>
      </c>
      <c r="C45" s="5">
        <v>0</v>
      </c>
      <c r="D45" s="5">
        <v>0</v>
      </c>
      <c r="E45" s="5">
        <v>775</v>
      </c>
      <c r="F45" s="7">
        <v>10066</v>
      </c>
      <c r="G45" s="7">
        <v>18836</v>
      </c>
      <c r="H45" s="7">
        <v>758</v>
      </c>
      <c r="I45" s="7">
        <v>0</v>
      </c>
      <c r="J45" s="8">
        <v>1254</v>
      </c>
    </row>
    <row r="46" spans="1:10" ht="16.5" thickBot="1" x14ac:dyDescent="0.3">
      <c r="A46" s="1">
        <v>2019</v>
      </c>
      <c r="B46" s="2" t="s">
        <v>6</v>
      </c>
      <c r="C46" s="5">
        <v>2000</v>
      </c>
      <c r="D46" s="5">
        <v>200</v>
      </c>
      <c r="E46" s="5">
        <v>1592</v>
      </c>
      <c r="F46" s="7">
        <v>1837</v>
      </c>
      <c r="G46" s="7">
        <v>11114</v>
      </c>
      <c r="H46" s="7">
        <v>598</v>
      </c>
      <c r="I46" s="7">
        <v>0</v>
      </c>
      <c r="J46" s="8">
        <v>1255</v>
      </c>
    </row>
    <row r="47" spans="1:10" ht="16.5" thickBot="1" x14ac:dyDescent="0.3">
      <c r="A47" s="1">
        <v>2019</v>
      </c>
      <c r="B47" s="2" t="s">
        <v>7</v>
      </c>
      <c r="C47" s="4">
        <v>0</v>
      </c>
      <c r="D47" s="4">
        <v>0</v>
      </c>
      <c r="E47" s="4">
        <v>0</v>
      </c>
      <c r="F47" s="7">
        <v>0</v>
      </c>
      <c r="G47" s="7">
        <v>0</v>
      </c>
      <c r="H47" s="7">
        <v>0</v>
      </c>
      <c r="I47" s="7">
        <v>0</v>
      </c>
      <c r="J47" s="8">
        <v>1256</v>
      </c>
    </row>
    <row r="48" spans="1:10" ht="16.5" thickBot="1" x14ac:dyDescent="0.3">
      <c r="A48" s="1">
        <v>2019</v>
      </c>
      <c r="B48" s="2" t="s">
        <v>8</v>
      </c>
      <c r="C48" s="5">
        <v>0</v>
      </c>
      <c r="D48" s="5">
        <v>0</v>
      </c>
      <c r="E48" s="5">
        <v>150</v>
      </c>
      <c r="F48" s="7">
        <v>187</v>
      </c>
      <c r="G48" s="7">
        <v>1837</v>
      </c>
      <c r="H48" s="7">
        <v>306</v>
      </c>
      <c r="I48" s="7">
        <v>0</v>
      </c>
      <c r="J48" s="8">
        <v>1257</v>
      </c>
    </row>
    <row r="49" spans="1:10" ht="16.5" thickBot="1" x14ac:dyDescent="0.3">
      <c r="A49" s="1">
        <v>2019</v>
      </c>
      <c r="B49" s="3" t="s">
        <v>9</v>
      </c>
      <c r="C49" s="5">
        <v>2000</v>
      </c>
      <c r="D49" s="5">
        <f t="shared" ref="D49:E49" si="6">SUM(D42:D48)</f>
        <v>200</v>
      </c>
      <c r="E49" s="5">
        <f t="shared" si="6"/>
        <v>4567</v>
      </c>
      <c r="F49" s="6">
        <f t="shared" ref="F49:H49" si="7">SUM(F42:F48)</f>
        <v>15300</v>
      </c>
      <c r="G49" s="6">
        <f t="shared" si="7"/>
        <v>36816</v>
      </c>
      <c r="H49" s="6">
        <f t="shared" si="7"/>
        <v>2100</v>
      </c>
      <c r="I49" s="7">
        <v>0</v>
      </c>
      <c r="J49" s="9"/>
    </row>
    <row r="50" spans="1:10" ht="16.5" thickBot="1" x14ac:dyDescent="0.3">
      <c r="A50" s="1">
        <v>2020</v>
      </c>
      <c r="B50" s="2" t="s">
        <v>2</v>
      </c>
      <c r="C50" s="4">
        <v>0</v>
      </c>
      <c r="D50" s="4">
        <v>0</v>
      </c>
      <c r="E50" s="4">
        <v>0</v>
      </c>
      <c r="F50" s="6">
        <v>0</v>
      </c>
      <c r="G50" s="7">
        <v>0</v>
      </c>
      <c r="H50" s="7">
        <v>0</v>
      </c>
      <c r="I50" s="7">
        <v>0</v>
      </c>
      <c r="J50" s="8">
        <v>1251</v>
      </c>
    </row>
    <row r="51" spans="1:10" ht="16.5" thickBot="1" x14ac:dyDescent="0.3">
      <c r="A51" s="1">
        <v>2020</v>
      </c>
      <c r="B51" s="2" t="s">
        <v>3</v>
      </c>
      <c r="C51" s="5">
        <v>0</v>
      </c>
      <c r="D51" s="5">
        <v>0</v>
      </c>
      <c r="E51" s="5">
        <v>1200</v>
      </c>
      <c r="F51" s="7">
        <v>1300</v>
      </c>
      <c r="G51" s="7">
        <v>760</v>
      </c>
      <c r="H51" s="7">
        <v>230</v>
      </c>
      <c r="I51" s="7">
        <v>0</v>
      </c>
      <c r="J51" s="8">
        <v>1252</v>
      </c>
    </row>
    <row r="52" spans="1:10" ht="16.5" thickBot="1" x14ac:dyDescent="0.3">
      <c r="A52" s="1">
        <v>2020</v>
      </c>
      <c r="B52" s="2" t="s">
        <v>4</v>
      </c>
      <c r="C52" s="5">
        <v>0</v>
      </c>
      <c r="D52" s="5">
        <v>0</v>
      </c>
      <c r="E52" s="5">
        <v>850</v>
      </c>
      <c r="F52" s="7">
        <v>1800</v>
      </c>
      <c r="G52" s="7">
        <v>3240</v>
      </c>
      <c r="H52" s="7">
        <v>270</v>
      </c>
      <c r="I52" s="7">
        <v>0</v>
      </c>
      <c r="J52" s="8">
        <v>1253</v>
      </c>
    </row>
    <row r="53" spans="1:10" ht="16.5" thickBot="1" x14ac:dyDescent="0.3">
      <c r="A53" s="1">
        <v>2020</v>
      </c>
      <c r="B53" s="2" t="s">
        <v>5</v>
      </c>
      <c r="C53" s="5">
        <v>0</v>
      </c>
      <c r="D53" s="5">
        <v>0</v>
      </c>
      <c r="E53" s="5">
        <v>775</v>
      </c>
      <c r="F53" s="7">
        <v>11451</v>
      </c>
      <c r="G53" s="7">
        <v>18424</v>
      </c>
      <c r="H53" s="7">
        <v>904</v>
      </c>
      <c r="I53" s="7">
        <v>0</v>
      </c>
      <c r="J53" s="8">
        <v>1254</v>
      </c>
    </row>
    <row r="54" spans="1:10" ht="16.5" thickBot="1" x14ac:dyDescent="0.3">
      <c r="A54" s="1">
        <v>2020</v>
      </c>
      <c r="B54" s="2" t="s">
        <v>6</v>
      </c>
      <c r="C54" s="5">
        <v>700</v>
      </c>
      <c r="D54" s="5">
        <v>0</v>
      </c>
      <c r="E54" s="5">
        <v>1592</v>
      </c>
      <c r="F54" s="7">
        <v>1934</v>
      </c>
      <c r="G54" s="7">
        <v>11491</v>
      </c>
      <c r="H54" s="7">
        <v>951</v>
      </c>
      <c r="I54" s="7">
        <v>0</v>
      </c>
      <c r="J54" s="8">
        <v>1255</v>
      </c>
    </row>
    <row r="55" spans="1:10" ht="16.5" thickBot="1" x14ac:dyDescent="0.3">
      <c r="A55" s="1">
        <v>2020</v>
      </c>
      <c r="B55" s="2" t="s">
        <v>7</v>
      </c>
      <c r="C55" s="4">
        <v>0</v>
      </c>
      <c r="D55" s="4">
        <v>0</v>
      </c>
      <c r="E55" s="4">
        <v>0</v>
      </c>
      <c r="F55" s="7">
        <v>0</v>
      </c>
      <c r="G55" s="7">
        <v>0</v>
      </c>
      <c r="H55" s="7">
        <v>0</v>
      </c>
      <c r="I55" s="7">
        <v>0</v>
      </c>
      <c r="J55" s="8">
        <v>1256</v>
      </c>
    </row>
    <row r="56" spans="1:10" ht="16.5" thickBot="1" x14ac:dyDescent="0.3">
      <c r="A56" s="1">
        <v>2020</v>
      </c>
      <c r="B56" s="2" t="s">
        <v>8</v>
      </c>
      <c r="C56" s="5">
        <v>0</v>
      </c>
      <c r="D56" s="5">
        <v>0</v>
      </c>
      <c r="E56" s="5">
        <v>150</v>
      </c>
      <c r="F56" s="7">
        <v>335</v>
      </c>
      <c r="G56" s="7">
        <v>2458</v>
      </c>
      <c r="H56" s="7">
        <v>430</v>
      </c>
      <c r="I56" s="7">
        <v>0</v>
      </c>
      <c r="J56" s="8">
        <v>1257</v>
      </c>
    </row>
    <row r="57" spans="1:10" ht="16.5" thickBot="1" x14ac:dyDescent="0.3">
      <c r="A57" s="1">
        <v>2020</v>
      </c>
      <c r="B57" s="3" t="s">
        <v>9</v>
      </c>
      <c r="C57" s="5">
        <v>700</v>
      </c>
      <c r="D57" s="5">
        <f t="shared" ref="D57:E57" si="8">SUM(D50:D56)</f>
        <v>0</v>
      </c>
      <c r="E57" s="5">
        <f t="shared" si="8"/>
        <v>4567</v>
      </c>
      <c r="F57" s="6">
        <f t="shared" ref="F57:H57" si="9">SUM(F50:F56)</f>
        <v>16820</v>
      </c>
      <c r="G57" s="6">
        <f t="shared" si="9"/>
        <v>36373</v>
      </c>
      <c r="H57" s="6">
        <f t="shared" si="9"/>
        <v>2785</v>
      </c>
      <c r="I57" s="7">
        <v>0</v>
      </c>
      <c r="J57" s="9"/>
    </row>
    <row r="58" spans="1:10" ht="16.5" thickBot="1" x14ac:dyDescent="0.3">
      <c r="A58" s="1">
        <v>2021</v>
      </c>
      <c r="B58" s="2" t="s">
        <v>2</v>
      </c>
      <c r="C58" s="4">
        <v>0</v>
      </c>
      <c r="D58" s="4">
        <v>0</v>
      </c>
      <c r="E58" s="4">
        <v>0</v>
      </c>
      <c r="F58" s="6">
        <v>0</v>
      </c>
      <c r="G58" s="7">
        <v>0</v>
      </c>
      <c r="H58" s="7">
        <v>0</v>
      </c>
      <c r="I58" s="7">
        <v>0</v>
      </c>
      <c r="J58" s="8">
        <v>1251</v>
      </c>
    </row>
    <row r="59" spans="1:10" ht="16.5" thickBot="1" x14ac:dyDescent="0.3">
      <c r="A59" s="1">
        <v>2021</v>
      </c>
      <c r="B59" s="2" t="s">
        <v>3</v>
      </c>
      <c r="C59" s="5">
        <v>0</v>
      </c>
      <c r="D59" s="5">
        <v>0</v>
      </c>
      <c r="E59" s="5">
        <v>1200</v>
      </c>
      <c r="F59" s="7">
        <v>1350</v>
      </c>
      <c r="G59" s="7">
        <f>250+200+150+200</f>
        <v>800</v>
      </c>
      <c r="H59" s="7">
        <f>120+10+40+60</f>
        <v>230</v>
      </c>
      <c r="I59" s="7">
        <v>0</v>
      </c>
      <c r="J59" s="8">
        <v>1252</v>
      </c>
    </row>
    <row r="60" spans="1:10" ht="16.5" thickBot="1" x14ac:dyDescent="0.3">
      <c r="A60" s="1">
        <v>2021</v>
      </c>
      <c r="B60" s="2" t="s">
        <v>4</v>
      </c>
      <c r="C60" s="5">
        <v>0</v>
      </c>
      <c r="D60" s="5">
        <v>0</v>
      </c>
      <c r="E60" s="5">
        <v>850</v>
      </c>
      <c r="F60" s="7">
        <v>2130</v>
      </c>
      <c r="G60" s="7">
        <f>1100+1060+1100+40</f>
        <v>3300</v>
      </c>
      <c r="H60" s="7">
        <f>100+120+40+10</f>
        <v>270</v>
      </c>
      <c r="I60" s="7">
        <v>0</v>
      </c>
      <c r="J60" s="8">
        <v>1253</v>
      </c>
    </row>
    <row r="61" spans="1:10" ht="16.5" thickBot="1" x14ac:dyDescent="0.3">
      <c r="A61" s="1">
        <v>2021</v>
      </c>
      <c r="B61" s="2" t="s">
        <v>5</v>
      </c>
      <c r="C61" s="5">
        <v>0</v>
      </c>
      <c r="D61" s="5">
        <v>0</v>
      </c>
      <c r="E61" s="5">
        <v>775</v>
      </c>
      <c r="F61" s="7">
        <v>11850</v>
      </c>
      <c r="G61" s="7">
        <f>6500+12000</f>
        <v>18500</v>
      </c>
      <c r="H61" s="7">
        <f>800+150</f>
        <v>950</v>
      </c>
      <c r="I61" s="7">
        <v>0</v>
      </c>
      <c r="J61" s="8">
        <v>1254</v>
      </c>
    </row>
    <row r="62" spans="1:10" ht="16.5" thickBot="1" x14ac:dyDescent="0.3">
      <c r="A62" s="1">
        <v>2021</v>
      </c>
      <c r="B62" s="2" t="s">
        <v>6</v>
      </c>
      <c r="C62" s="5">
        <v>568</v>
      </c>
      <c r="D62" s="5">
        <v>0</v>
      </c>
      <c r="E62" s="5">
        <v>1517</v>
      </c>
      <c r="F62" s="7">
        <v>1868</v>
      </c>
      <c r="G62" s="7">
        <f>2150+940+2075+2730+3340</f>
        <v>11235</v>
      </c>
      <c r="H62" s="7">
        <f>175+60+170+155+180</f>
        <v>740</v>
      </c>
      <c r="I62" s="7">
        <v>0</v>
      </c>
      <c r="J62" s="8">
        <v>1255</v>
      </c>
    </row>
    <row r="63" spans="1:10" ht="16.5" thickBot="1" x14ac:dyDescent="0.3">
      <c r="A63" s="1">
        <v>2021</v>
      </c>
      <c r="B63" s="2" t="s">
        <v>7</v>
      </c>
      <c r="C63" s="4">
        <v>0</v>
      </c>
      <c r="D63" s="4">
        <v>0</v>
      </c>
      <c r="E63" s="4">
        <v>0</v>
      </c>
      <c r="F63" s="7">
        <v>0</v>
      </c>
      <c r="G63" s="7">
        <v>0</v>
      </c>
      <c r="H63" s="7">
        <v>0</v>
      </c>
      <c r="I63" s="7">
        <v>0</v>
      </c>
      <c r="J63" s="8">
        <v>1256</v>
      </c>
    </row>
    <row r="64" spans="1:10" ht="16.5" thickBot="1" x14ac:dyDescent="0.3">
      <c r="A64" s="1">
        <v>2021</v>
      </c>
      <c r="B64" s="2" t="s">
        <v>8</v>
      </c>
      <c r="C64" s="5">
        <v>0</v>
      </c>
      <c r="D64" s="5">
        <v>0</v>
      </c>
      <c r="E64" s="5">
        <v>150</v>
      </c>
      <c r="F64" s="7">
        <v>332</v>
      </c>
      <c r="G64" s="7">
        <f>1320+80+1015</f>
        <v>2415</v>
      </c>
      <c r="H64" s="7">
        <f>165+25+166</f>
        <v>356</v>
      </c>
      <c r="I64" s="7">
        <v>0</v>
      </c>
      <c r="J64" s="8">
        <v>1257</v>
      </c>
    </row>
    <row r="65" spans="1:10" ht="16.5" thickBot="1" x14ac:dyDescent="0.3">
      <c r="A65" s="1">
        <v>2021</v>
      </c>
      <c r="B65" s="3" t="s">
        <v>9</v>
      </c>
      <c r="C65" s="5">
        <v>568</v>
      </c>
      <c r="D65" s="5">
        <f t="shared" ref="D65:E65" si="10">SUM(D58:D64)</f>
        <v>0</v>
      </c>
      <c r="E65" s="5">
        <f t="shared" si="10"/>
        <v>4492</v>
      </c>
      <c r="F65" s="6">
        <f t="shared" ref="F65:H65" si="11">SUM(F58:F64)</f>
        <v>17530</v>
      </c>
      <c r="G65" s="6">
        <f t="shared" si="11"/>
        <v>36250</v>
      </c>
      <c r="H65" s="6">
        <f t="shared" si="11"/>
        <v>2546</v>
      </c>
      <c r="I65" s="7">
        <v>0</v>
      </c>
      <c r="J65" s="9"/>
    </row>
    <row r="66" spans="1:10" ht="16.5" thickBot="1" x14ac:dyDescent="0.3">
      <c r="A66" s="1">
        <v>2022</v>
      </c>
      <c r="B66" s="2" t="s">
        <v>2</v>
      </c>
      <c r="C66" s="4">
        <v>0</v>
      </c>
      <c r="D66" s="4">
        <v>0</v>
      </c>
      <c r="E66" s="4">
        <v>0</v>
      </c>
      <c r="F66" s="6">
        <v>0</v>
      </c>
      <c r="G66" s="7">
        <v>0</v>
      </c>
      <c r="H66" s="7">
        <v>0</v>
      </c>
      <c r="I66" s="7">
        <v>0</v>
      </c>
      <c r="J66" s="8">
        <v>1251</v>
      </c>
    </row>
    <row r="67" spans="1:10" ht="16.5" thickBot="1" x14ac:dyDescent="0.3">
      <c r="A67" s="1">
        <v>2022</v>
      </c>
      <c r="B67" s="2" t="s">
        <v>3</v>
      </c>
      <c r="C67" s="5">
        <v>0</v>
      </c>
      <c r="D67" s="5">
        <v>0</v>
      </c>
      <c r="E67" s="5">
        <v>350</v>
      </c>
      <c r="F67" s="7">
        <v>1064</v>
      </c>
      <c r="G67" s="7">
        <v>1337</v>
      </c>
      <c r="H67" s="7">
        <v>156</v>
      </c>
      <c r="I67" s="7">
        <v>0</v>
      </c>
      <c r="J67" s="8">
        <v>1252</v>
      </c>
    </row>
    <row r="68" spans="1:10" ht="16.5" thickBot="1" x14ac:dyDescent="0.3">
      <c r="A68" s="1">
        <v>2022</v>
      </c>
      <c r="B68" s="2" t="s">
        <v>4</v>
      </c>
      <c r="C68" s="5">
        <v>0</v>
      </c>
      <c r="D68" s="5">
        <v>0</v>
      </c>
      <c r="E68" s="5">
        <v>500</v>
      </c>
      <c r="F68" s="7">
        <v>1737</v>
      </c>
      <c r="G68" s="7">
        <v>5521</v>
      </c>
      <c r="H68" s="7">
        <v>170</v>
      </c>
      <c r="I68" s="7">
        <v>0</v>
      </c>
      <c r="J68" s="8">
        <v>1253</v>
      </c>
    </row>
    <row r="69" spans="1:10" ht="16.5" thickBot="1" x14ac:dyDescent="0.3">
      <c r="A69" s="1">
        <v>2022</v>
      </c>
      <c r="B69" s="2" t="s">
        <v>5</v>
      </c>
      <c r="C69" s="5">
        <v>0</v>
      </c>
      <c r="D69" s="5">
        <v>0</v>
      </c>
      <c r="E69" s="5">
        <v>320</v>
      </c>
      <c r="F69" s="7">
        <v>11427</v>
      </c>
      <c r="G69" s="7">
        <v>23166</v>
      </c>
      <c r="H69" s="7">
        <v>700</v>
      </c>
      <c r="I69" s="7">
        <v>0</v>
      </c>
      <c r="J69" s="8">
        <v>1254</v>
      </c>
    </row>
    <row r="70" spans="1:10" ht="16.5" thickBot="1" x14ac:dyDescent="0.3">
      <c r="A70" s="1">
        <v>2022</v>
      </c>
      <c r="B70" s="2" t="s">
        <v>6</v>
      </c>
      <c r="C70" s="5">
        <v>661</v>
      </c>
      <c r="D70" s="5">
        <v>60</v>
      </c>
      <c r="E70" s="5">
        <v>300</v>
      </c>
      <c r="F70" s="7">
        <v>2344</v>
      </c>
      <c r="G70" s="7">
        <v>11545</v>
      </c>
      <c r="H70" s="7">
        <v>437</v>
      </c>
      <c r="I70" s="7">
        <v>0</v>
      </c>
      <c r="J70" s="8">
        <v>1255</v>
      </c>
    </row>
    <row r="71" spans="1:10" ht="16.5" thickBot="1" x14ac:dyDescent="0.3">
      <c r="A71" s="1">
        <v>2022</v>
      </c>
      <c r="B71" s="2" t="s">
        <v>7</v>
      </c>
      <c r="C71" s="4">
        <v>0</v>
      </c>
      <c r="D71" s="4">
        <v>0</v>
      </c>
      <c r="E71" s="4">
        <v>0</v>
      </c>
      <c r="F71" s="7">
        <v>0</v>
      </c>
      <c r="G71" s="7">
        <v>0</v>
      </c>
      <c r="H71" s="7">
        <v>0</v>
      </c>
      <c r="I71" s="7">
        <v>0</v>
      </c>
      <c r="J71" s="8">
        <v>1256</v>
      </c>
    </row>
    <row r="72" spans="1:10" ht="16.5" thickBot="1" x14ac:dyDescent="0.3">
      <c r="A72" s="1">
        <v>2022</v>
      </c>
      <c r="B72" s="2" t="s">
        <v>8</v>
      </c>
      <c r="C72" s="5">
        <v>0</v>
      </c>
      <c r="D72" s="5">
        <v>0</v>
      </c>
      <c r="E72" s="5">
        <v>0</v>
      </c>
      <c r="F72" s="7">
        <v>414</v>
      </c>
      <c r="G72" s="7">
        <v>2535</v>
      </c>
      <c r="H72" s="7">
        <v>150</v>
      </c>
      <c r="I72" s="7">
        <v>0</v>
      </c>
      <c r="J72" s="8">
        <v>1257</v>
      </c>
    </row>
    <row r="73" spans="1:10" ht="16.5" thickBot="1" x14ac:dyDescent="0.3">
      <c r="A73" s="1">
        <v>2022</v>
      </c>
      <c r="B73" s="3" t="s">
        <v>9</v>
      </c>
      <c r="C73" s="5">
        <v>661</v>
      </c>
      <c r="D73" s="5">
        <f t="shared" ref="D73:E73" si="12">SUM(D66:D72)</f>
        <v>60</v>
      </c>
      <c r="E73" s="5">
        <f t="shared" si="12"/>
        <v>1470</v>
      </c>
      <c r="F73" s="6">
        <f t="shared" ref="F73:H73" si="13">SUM(F66:F72)</f>
        <v>16986</v>
      </c>
      <c r="G73" s="6">
        <f t="shared" si="13"/>
        <v>44104</v>
      </c>
      <c r="H73" s="6">
        <f t="shared" si="13"/>
        <v>1613</v>
      </c>
      <c r="I73" s="7">
        <v>0</v>
      </c>
      <c r="J73" s="9"/>
    </row>
    <row r="74" spans="1:10" ht="16.5" thickBot="1" x14ac:dyDescent="0.3">
      <c r="A74" s="1">
        <v>2023</v>
      </c>
      <c r="B74" s="2" t="s">
        <v>2</v>
      </c>
      <c r="C74" s="4">
        <v>0</v>
      </c>
      <c r="D74" s="4">
        <v>0</v>
      </c>
      <c r="E74" s="4">
        <v>0</v>
      </c>
      <c r="F74" s="6">
        <v>0</v>
      </c>
      <c r="G74" s="7">
        <v>0</v>
      </c>
      <c r="H74" s="7">
        <v>0</v>
      </c>
      <c r="I74" s="7">
        <v>0</v>
      </c>
      <c r="J74" s="8">
        <v>1251</v>
      </c>
    </row>
    <row r="75" spans="1:10" ht="16.5" thickBot="1" x14ac:dyDescent="0.3">
      <c r="A75" s="1">
        <v>2023</v>
      </c>
      <c r="B75" s="2" t="s">
        <v>3</v>
      </c>
      <c r="C75" s="5">
        <v>0</v>
      </c>
      <c r="D75" s="5">
        <v>0</v>
      </c>
      <c r="E75" s="5">
        <v>350</v>
      </c>
      <c r="F75" s="7">
        <v>945</v>
      </c>
      <c r="G75" s="7">
        <v>1350</v>
      </c>
      <c r="H75" s="7">
        <v>170</v>
      </c>
      <c r="I75" s="7">
        <v>0</v>
      </c>
      <c r="J75" s="8">
        <v>1252</v>
      </c>
    </row>
    <row r="76" spans="1:10" ht="16.5" thickBot="1" x14ac:dyDescent="0.3">
      <c r="A76" s="1">
        <v>2023</v>
      </c>
      <c r="B76" s="2" t="s">
        <v>4</v>
      </c>
      <c r="C76" s="5">
        <v>0</v>
      </c>
      <c r="D76" s="5">
        <v>0</v>
      </c>
      <c r="E76" s="5">
        <v>530</v>
      </c>
      <c r="F76" s="7">
        <v>1751</v>
      </c>
      <c r="G76" s="7">
        <v>6980</v>
      </c>
      <c r="H76" s="7">
        <v>180</v>
      </c>
      <c r="I76" s="7">
        <v>0</v>
      </c>
      <c r="J76" s="8">
        <v>1253</v>
      </c>
    </row>
    <row r="77" spans="1:10" ht="16.5" thickBot="1" x14ac:dyDescent="0.3">
      <c r="A77" s="1">
        <v>2023</v>
      </c>
      <c r="B77" s="2" t="s">
        <v>5</v>
      </c>
      <c r="C77" s="5">
        <v>0</v>
      </c>
      <c r="D77" s="5">
        <v>0</v>
      </c>
      <c r="E77" s="5">
        <v>340</v>
      </c>
      <c r="F77" s="7">
        <v>10679</v>
      </c>
      <c r="G77" s="7">
        <v>24322</v>
      </c>
      <c r="H77" s="7">
        <v>396</v>
      </c>
      <c r="I77" s="7">
        <v>0</v>
      </c>
      <c r="J77" s="8">
        <v>1254</v>
      </c>
    </row>
    <row r="78" spans="1:10" ht="16.5" thickBot="1" x14ac:dyDescent="0.3">
      <c r="A78" s="1">
        <v>2023</v>
      </c>
      <c r="B78" s="2" t="s">
        <v>6</v>
      </c>
      <c r="C78" s="5">
        <v>794</v>
      </c>
      <c r="D78" s="5">
        <v>78</v>
      </c>
      <c r="E78" s="5">
        <v>280</v>
      </c>
      <c r="F78" s="7">
        <v>1952</v>
      </c>
      <c r="G78" s="7">
        <v>8370</v>
      </c>
      <c r="H78" s="7">
        <v>450</v>
      </c>
      <c r="I78" s="7">
        <v>0</v>
      </c>
      <c r="J78" s="8">
        <v>1255</v>
      </c>
    </row>
    <row r="79" spans="1:10" ht="16.5" thickBot="1" x14ac:dyDescent="0.3">
      <c r="A79" s="1">
        <v>2023</v>
      </c>
      <c r="B79" s="2" t="s">
        <v>7</v>
      </c>
      <c r="C79" s="4">
        <v>0</v>
      </c>
      <c r="D79" s="4">
        <v>0</v>
      </c>
      <c r="E79" s="4">
        <v>0</v>
      </c>
      <c r="F79" s="7">
        <v>0</v>
      </c>
      <c r="G79" s="7">
        <v>0</v>
      </c>
      <c r="H79" s="7">
        <v>0</v>
      </c>
      <c r="I79" s="7">
        <v>0</v>
      </c>
      <c r="J79" s="8">
        <v>1256</v>
      </c>
    </row>
    <row r="80" spans="1:10" ht="16.5" thickBot="1" x14ac:dyDescent="0.3">
      <c r="A80" s="1">
        <v>2023</v>
      </c>
      <c r="B80" s="2" t="s">
        <v>8</v>
      </c>
      <c r="C80" s="5">
        <v>0</v>
      </c>
      <c r="D80" s="5">
        <v>0</v>
      </c>
      <c r="E80" s="5">
        <v>0</v>
      </c>
      <c r="F80" s="7">
        <v>673</v>
      </c>
      <c r="G80" s="7">
        <v>3078</v>
      </c>
      <c r="H80" s="7">
        <v>414</v>
      </c>
      <c r="I80" s="7">
        <v>0</v>
      </c>
      <c r="J80" s="8">
        <v>1257</v>
      </c>
    </row>
    <row r="81" spans="1:10" ht="16.5" thickBot="1" x14ac:dyDescent="0.3">
      <c r="A81" s="1">
        <v>2023</v>
      </c>
      <c r="B81" s="3" t="s">
        <v>9</v>
      </c>
      <c r="C81" s="5">
        <v>794</v>
      </c>
      <c r="D81" s="5">
        <f t="shared" ref="D81:E81" si="14">SUM(D74:D80)</f>
        <v>78</v>
      </c>
      <c r="E81" s="5">
        <f t="shared" si="14"/>
        <v>1500</v>
      </c>
      <c r="F81" s="6">
        <f t="shared" ref="F81:H81" si="15">SUM(F74:F80)</f>
        <v>16000</v>
      </c>
      <c r="G81" s="6">
        <f t="shared" si="15"/>
        <v>44100</v>
      </c>
      <c r="H81" s="6">
        <f t="shared" si="15"/>
        <v>1610</v>
      </c>
      <c r="I81" s="7">
        <v>0</v>
      </c>
      <c r="J81" s="9"/>
    </row>
    <row r="82" spans="1:10" ht="16.5" thickBot="1" x14ac:dyDescent="0.3">
      <c r="A82" s="10">
        <v>2024</v>
      </c>
      <c r="B82" s="2" t="s">
        <v>2</v>
      </c>
      <c r="C82" s="4">
        <v>0</v>
      </c>
      <c r="D82" s="4">
        <v>0</v>
      </c>
      <c r="E82" s="4">
        <v>0</v>
      </c>
      <c r="F82" s="6">
        <v>0</v>
      </c>
      <c r="G82" s="7">
        <v>0</v>
      </c>
      <c r="H82" s="7">
        <v>0</v>
      </c>
      <c r="I82" s="7">
        <v>0</v>
      </c>
      <c r="J82" s="8">
        <v>1251</v>
      </c>
    </row>
    <row r="83" spans="1:10" ht="16.5" thickBot="1" x14ac:dyDescent="0.3">
      <c r="A83" s="10">
        <v>2024</v>
      </c>
      <c r="B83" s="2" t="s">
        <v>3</v>
      </c>
      <c r="C83" s="5">
        <v>0</v>
      </c>
      <c r="D83" s="5">
        <v>0</v>
      </c>
      <c r="E83" s="5">
        <v>630</v>
      </c>
      <c r="F83" s="7">
        <v>768</v>
      </c>
      <c r="G83" s="7">
        <v>1347</v>
      </c>
      <c r="H83" s="7">
        <v>264</v>
      </c>
      <c r="I83" s="7">
        <v>0</v>
      </c>
      <c r="J83" s="8">
        <v>1252</v>
      </c>
    </row>
    <row r="84" spans="1:10" ht="16.5" thickBot="1" x14ac:dyDescent="0.3">
      <c r="A84" s="10">
        <v>2024</v>
      </c>
      <c r="B84" s="2" t="s">
        <v>4</v>
      </c>
      <c r="C84" s="5">
        <v>0</v>
      </c>
      <c r="D84" s="5">
        <v>43</v>
      </c>
      <c r="E84" s="5">
        <v>715</v>
      </c>
      <c r="F84" s="7">
        <v>1423</v>
      </c>
      <c r="G84" s="7">
        <v>6964</v>
      </c>
      <c r="H84" s="7">
        <v>279</v>
      </c>
      <c r="I84" s="7">
        <v>0</v>
      </c>
      <c r="J84" s="8">
        <v>1253</v>
      </c>
    </row>
    <row r="85" spans="1:10" ht="16.5" thickBot="1" x14ac:dyDescent="0.3">
      <c r="A85" s="10">
        <v>2024</v>
      </c>
      <c r="B85" s="2" t="s">
        <v>5</v>
      </c>
      <c r="C85" s="5">
        <v>0</v>
      </c>
      <c r="D85" s="5">
        <v>171</v>
      </c>
      <c r="E85" s="5">
        <v>894</v>
      </c>
      <c r="F85" s="7">
        <v>8676</v>
      </c>
      <c r="G85" s="7">
        <v>24266</v>
      </c>
      <c r="H85" s="7">
        <v>615</v>
      </c>
      <c r="I85" s="7">
        <v>0</v>
      </c>
      <c r="J85" s="8">
        <v>1254</v>
      </c>
    </row>
    <row r="86" spans="1:10" ht="16.5" thickBot="1" x14ac:dyDescent="0.3">
      <c r="A86" s="10">
        <v>2024</v>
      </c>
      <c r="B86" s="2" t="s">
        <v>6</v>
      </c>
      <c r="C86" s="5">
        <v>794</v>
      </c>
      <c r="D86" s="5">
        <v>0</v>
      </c>
      <c r="E86" s="5">
        <v>793</v>
      </c>
      <c r="F86" s="7">
        <v>1586</v>
      </c>
      <c r="G86" s="7">
        <v>8351</v>
      </c>
      <c r="H86" s="7">
        <v>698</v>
      </c>
      <c r="I86" s="7">
        <v>0</v>
      </c>
      <c r="J86" s="8">
        <v>1255</v>
      </c>
    </row>
    <row r="87" spans="1:10" ht="16.5" thickBot="1" x14ac:dyDescent="0.3">
      <c r="A87" s="10">
        <v>2024</v>
      </c>
      <c r="B87" s="2" t="s">
        <v>7</v>
      </c>
      <c r="C87" s="4">
        <v>0</v>
      </c>
      <c r="D87" s="4">
        <v>0</v>
      </c>
      <c r="E87" s="4">
        <v>0</v>
      </c>
      <c r="F87" s="7">
        <v>0</v>
      </c>
      <c r="G87" s="7">
        <v>0</v>
      </c>
      <c r="H87" s="7">
        <v>0</v>
      </c>
      <c r="I87" s="7">
        <v>0</v>
      </c>
      <c r="J87" s="8">
        <v>1256</v>
      </c>
    </row>
    <row r="88" spans="1:10" ht="16.5" thickBot="1" x14ac:dyDescent="0.3">
      <c r="A88" s="10">
        <v>2024</v>
      </c>
      <c r="B88" s="2" t="s">
        <v>8</v>
      </c>
      <c r="C88" s="5">
        <v>0</v>
      </c>
      <c r="D88" s="5">
        <v>0</v>
      </c>
      <c r="E88" s="5">
        <v>0</v>
      </c>
      <c r="F88" s="7">
        <v>547</v>
      </c>
      <c r="G88" s="7">
        <v>3072</v>
      </c>
      <c r="H88" s="7">
        <v>644</v>
      </c>
      <c r="I88" s="7">
        <v>0</v>
      </c>
      <c r="J88" s="8">
        <v>1257</v>
      </c>
    </row>
    <row r="89" spans="1:10" ht="16.5" thickBot="1" x14ac:dyDescent="0.3">
      <c r="A89" s="10">
        <v>2024</v>
      </c>
      <c r="B89" s="3" t="s">
        <v>9</v>
      </c>
      <c r="C89" s="5">
        <f t="shared" ref="C89:E89" si="16">SUM(C82:C88)</f>
        <v>794</v>
      </c>
      <c r="D89" s="5">
        <f t="shared" si="16"/>
        <v>214</v>
      </c>
      <c r="E89" s="5">
        <f t="shared" si="16"/>
        <v>3032</v>
      </c>
      <c r="F89" s="6">
        <f t="shared" ref="F89:H89" si="17">SUM(F82:F88)</f>
        <v>13000</v>
      </c>
      <c r="G89" s="6">
        <f t="shared" si="17"/>
        <v>44000</v>
      </c>
      <c r="H89" s="6">
        <f t="shared" si="17"/>
        <v>2500</v>
      </c>
      <c r="I89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2025-07-29T11:00:37Z</dcterms:modified>
</cp:coreProperties>
</file>