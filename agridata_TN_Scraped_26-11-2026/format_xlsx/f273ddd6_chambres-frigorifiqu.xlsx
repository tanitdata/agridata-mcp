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A:\Travail Noura\Agri DATA\Actualisation Agridata\CRDA\Données\Données traitées\CRDA Béja\"/>
    </mc:Choice>
  </mc:AlternateContent>
  <xr:revisionPtr revIDLastSave="0" documentId="13_ncr:1_{4B41C1AE-B985-4BFC-8875-DE90F74F742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7" i="1" l="1"/>
  <c r="B27" i="1"/>
  <c r="E25" i="1"/>
  <c r="E11" i="1"/>
  <c r="E7" i="1"/>
  <c r="E5" i="1"/>
  <c r="E2" i="1"/>
  <c r="E27" i="1" l="1"/>
</calcChain>
</file>

<file path=xl/sharedStrings.xml><?xml version="1.0" encoding="utf-8"?>
<sst xmlns="http://schemas.openxmlformats.org/spreadsheetml/2006/main" count="83" uniqueCount="42">
  <si>
    <t>باجة الجنوبية</t>
  </si>
  <si>
    <t>مصطفى بالكاهية - الأفارق</t>
  </si>
  <si>
    <t>مستغل</t>
  </si>
  <si>
    <t>قايدي عبد الفتاح بالمعقولة</t>
  </si>
  <si>
    <t xml:space="preserve"> محمد الهمامي - الأفارق</t>
  </si>
  <si>
    <t>مجاز الباب</t>
  </si>
  <si>
    <t>زهير بن عمر المليتي - قريش الواد</t>
  </si>
  <si>
    <t>ورثة علي النعاس- الهري</t>
  </si>
  <si>
    <t>-</t>
  </si>
  <si>
    <t>قبلاط</t>
  </si>
  <si>
    <t>شركة الهدف : فاكر الوسلاتي المنطقة الصناعية قبلاط</t>
  </si>
  <si>
    <t xml:space="preserve">  مستغل</t>
  </si>
  <si>
    <t xml:space="preserve"> مختار مهذب الهمامي- قبلاط </t>
  </si>
  <si>
    <t>شركة زينة-المنطقة الصتاعية قبلاط</t>
  </si>
  <si>
    <t>نور الدين الرياحي- المنطقة الصتاعية قبلاط</t>
  </si>
  <si>
    <t>تستور</t>
  </si>
  <si>
    <t>محمد الدريدي بتستور</t>
  </si>
  <si>
    <t xml:space="preserve">  الأمين التاغوتي تستور</t>
  </si>
  <si>
    <t xml:space="preserve">  منصف جبيس تستور </t>
  </si>
  <si>
    <t>شركة التخزين والتوزيع بتستور</t>
  </si>
  <si>
    <t xml:space="preserve"> ورثة أحمد الشريف بتستور </t>
  </si>
  <si>
    <t>شركة تبريد الافق بفيض التونسي</t>
  </si>
  <si>
    <t>مراد البحريني بالسلوقية</t>
  </si>
  <si>
    <t xml:space="preserve">  غير مستغل</t>
  </si>
  <si>
    <t>علي شنني بتستور</t>
  </si>
  <si>
    <t xml:space="preserve"> أبناء محمد بن بلقاسم الهمامي</t>
  </si>
  <si>
    <t xml:space="preserve"> بحري فريحة بتستور</t>
  </si>
  <si>
    <t>محمد بن الطاهر الهمامي - جباس</t>
  </si>
  <si>
    <t>لطفي بن الطاهر الهمامي -جباس</t>
  </si>
  <si>
    <t>أولاد بن حمرة سيدي عبد العزيز</t>
  </si>
  <si>
    <t>محمد ين حرشة- السلوقية</t>
  </si>
  <si>
    <t>تيبار</t>
  </si>
  <si>
    <t>المركب الفلاحي بتيبار</t>
  </si>
  <si>
    <t xml:space="preserve"> مستغل</t>
  </si>
  <si>
    <t>سمير الصدغياني  بتيبار</t>
  </si>
  <si>
    <t>كامل الولاية</t>
  </si>
  <si>
    <t>Délégation</t>
  </si>
  <si>
    <t>Nombre</t>
  </si>
  <si>
    <t>Nom et zone d'installation</t>
  </si>
  <si>
    <t>Capacité (tonne)</t>
  </si>
  <si>
    <t>Capacité totale</t>
  </si>
  <si>
    <t>Exploitation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</si>
</sst>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#.000"/>
  </numFmts>
  <fonts count="4" x14ac:knownFonts="1">
    <font>
      <sz val="11"/>
      <color theme="1"/>
      <name val="Calibri"/>
      <family val="2"/>
      <scheme val="minor"/>
    </font>
    <font>
      <b/>
      <sz val="14"/>
      <name val="Traditional Arabic"/>
      <family val="1"/>
    </font>
    <font>
      <sz val="14"/>
      <name val="Traditional Arabic"/>
      <family val="1"/>
    </font>
    <font>
      <b/>
      <sz val="12"/>
      <name val="Traditional Arabic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1" fontId="2" fillId="0" borderId="5" xfId="0" applyNumberFormat="1" applyFont="1" applyBorder="1" applyAlignment="1">
      <alignment horizontal="center" vertical="center" readingOrder="1"/>
    </xf>
    <xf numFmtId="1" fontId="2" fillId="0" borderId="6" xfId="0" applyNumberFormat="1" applyFont="1" applyBorder="1" applyAlignment="1">
      <alignment horizontal="center" vertical="center" readingOrder="1"/>
    </xf>
    <xf numFmtId="1" fontId="2" fillId="0" borderId="7" xfId="0" applyNumberFormat="1" applyFont="1" applyBorder="1" applyAlignment="1">
      <alignment horizontal="center" vertical="center" readingOrder="1"/>
    </xf>
    <xf numFmtId="1" fontId="2" fillId="0" borderId="8" xfId="0" applyNumberFormat="1" applyFont="1" applyBorder="1" applyAlignment="1">
      <alignment horizontal="center" vertical="center" readingOrder="1"/>
    </xf>
    <xf numFmtId="1" fontId="2" fillId="0" borderId="9" xfId="0" applyNumberFormat="1" applyFont="1" applyBorder="1" applyAlignment="1">
      <alignment horizontal="center" vertical="center" readingOrder="1"/>
    </xf>
    <xf numFmtId="1" fontId="2" fillId="0" borderId="10" xfId="0" applyNumberFormat="1" applyFont="1" applyBorder="1" applyAlignment="1">
      <alignment horizontal="center" vertical="center" readingOrder="1"/>
    </xf>
    <xf numFmtId="1" fontId="2" fillId="0" borderId="11" xfId="0" applyNumberFormat="1" applyFont="1" applyBorder="1" applyAlignment="1">
      <alignment horizontal="center" vertical="center" readingOrder="1"/>
    </xf>
    <xf numFmtId="1" fontId="2" fillId="0" borderId="12" xfId="0" applyNumberFormat="1" applyFont="1" applyBorder="1" applyAlignment="1">
      <alignment horizontal="center" vertical="center" readingOrder="1"/>
    </xf>
    <xf numFmtId="1" fontId="2" fillId="0" borderId="13" xfId="0" applyNumberFormat="1" applyFont="1" applyBorder="1" applyAlignment="1">
      <alignment horizontal="center" vertical="center" readingOrder="1"/>
    </xf>
    <xf numFmtId="1" fontId="2" fillId="0" borderId="15" xfId="0" applyNumberFormat="1" applyFont="1" applyBorder="1" applyAlignment="1">
      <alignment horizontal="center" vertical="center" readingOrder="1"/>
    </xf>
    <xf numFmtId="1" fontId="2" fillId="0" borderId="16" xfId="0" applyNumberFormat="1" applyFont="1" applyBorder="1" applyAlignment="1">
      <alignment horizontal="center" vertical="center" readingOrder="1"/>
    </xf>
    <xf numFmtId="1" fontId="2" fillId="2" borderId="5" xfId="0" applyNumberFormat="1" applyFont="1" applyFill="1" applyBorder="1" applyAlignment="1">
      <alignment horizontal="center" vertical="center" readingOrder="1"/>
    </xf>
    <xf numFmtId="1" fontId="2" fillId="2" borderId="6" xfId="0" applyNumberFormat="1" applyFont="1" applyFill="1" applyBorder="1" applyAlignment="1">
      <alignment horizontal="center" vertical="center" readingOrder="1"/>
    </xf>
    <xf numFmtId="1" fontId="2" fillId="2" borderId="8" xfId="0" applyNumberFormat="1" applyFont="1" applyFill="1" applyBorder="1" applyAlignment="1">
      <alignment horizontal="center" vertical="center" readingOrder="1"/>
    </xf>
    <xf numFmtId="1" fontId="2" fillId="2" borderId="9" xfId="0" applyNumberFormat="1" applyFont="1" applyFill="1" applyBorder="1" applyAlignment="1">
      <alignment horizontal="center" vertical="center" readingOrder="1"/>
    </xf>
    <xf numFmtId="1" fontId="2" fillId="0" borderId="17" xfId="0" applyNumberFormat="1" applyFont="1" applyBorder="1" applyAlignment="1">
      <alignment horizontal="center" vertical="center" readingOrder="1"/>
    </xf>
    <xf numFmtId="1" fontId="2" fillId="2" borderId="12" xfId="0" applyNumberFormat="1" applyFont="1" applyFill="1" applyBorder="1" applyAlignment="1">
      <alignment horizontal="center" vertical="center" readingOrder="1"/>
    </xf>
    <xf numFmtId="1" fontId="3" fillId="0" borderId="1" xfId="0" applyNumberFormat="1" applyFont="1" applyBorder="1" applyAlignment="1">
      <alignment horizontal="center" vertical="center" readingOrder="1"/>
    </xf>
    <xf numFmtId="1" fontId="3" fillId="0" borderId="2" xfId="0" applyNumberFormat="1" applyFont="1" applyBorder="1" applyAlignment="1">
      <alignment horizontal="center" vertical="center" readingOrder="1"/>
    </xf>
    <xf numFmtId="1" fontId="3" fillId="0" borderId="3" xfId="0" applyNumberFormat="1" applyFont="1" applyBorder="1" applyAlignment="1">
      <alignment horizontal="center" vertical="center" readingOrder="1"/>
    </xf>
    <xf numFmtId="0" fontId="0" fillId="0" borderId="19" xfId="0" applyBorder="1"/>
    <xf numFmtId="164" fontId="1" fillId="0" borderId="4" xfId="0" applyNumberFormat="1" applyFont="1" applyBorder="1" applyAlignment="1">
      <alignment horizontal="left" vertical="center" readingOrder="1"/>
    </xf>
    <xf numFmtId="164" fontId="1" fillId="0" borderId="14" xfId="0" applyNumberFormat="1" applyFont="1" applyBorder="1" applyAlignment="1">
      <alignment horizontal="left" vertical="center" readingOrder="1"/>
    </xf>
    <xf numFmtId="164" fontId="1" fillId="0" borderId="18" xfId="0" applyNumberFormat="1" applyFont="1" applyBorder="1" applyAlignment="1">
      <alignment horizontal="lef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tabSelected="1" workbookViewId="0">
      <selection activeCell="K18" sqref="K18"/>
    </sheetView>
  </sheetViews>
  <sheetFormatPr baseColWidth="10" defaultColWidth="9.140625" defaultRowHeight="15" x14ac:dyDescent="0.25"/>
  <cols>
    <col min="1" max="1" width="16.28515625" customWidth="1"/>
    <col min="2" max="2" width="12.42578125" customWidth="1"/>
    <col min="3" max="3" width="37.7109375" customWidth="1"/>
    <col min="4" max="4" width="23.42578125" customWidth="1"/>
    <col min="5" max="5" width="17" customWidth="1"/>
    <col min="6" max="6" width="16.5703125" customWidth="1"/>
  </cols>
  <sheetData>
    <row r="1" spans="1:6" ht="19.5" customHeight="1" thickBot="1" x14ac:dyDescent="0.3">
      <c r="A1" s="21" t="s">
        <v>36</v>
      </c>
      <c r="B1" s="21" t="s">
        <v>37</v>
      </c>
      <c r="C1" s="21" t="s">
        <v>38</v>
      </c>
      <c r="D1" s="21" t="s">
        <v>39</v>
      </c>
      <c r="E1" s="21" t="s">
        <v>40</v>
      </c>
      <c r="F1" s="21" t="s">
        <v>41</v>
      </c>
    </row>
    <row r="2" spans="1:6" ht="26.25" thickBot="1" x14ac:dyDescent="0.3">
      <c r="A2" s="22" t="s">
        <v>0</v>
      </c>
      <c r="B2" s="1">
        <v>1</v>
      </c>
      <c r="C2" s="1" t="s">
        <v>1</v>
      </c>
      <c r="D2" s="1">
        <v>30</v>
      </c>
      <c r="E2" s="2">
        <f>D2+D3+D4</f>
        <v>1230</v>
      </c>
      <c r="F2" s="3" t="s">
        <v>2</v>
      </c>
    </row>
    <row r="3" spans="1:6" ht="26.25" thickBot="1" x14ac:dyDescent="0.3">
      <c r="A3" s="22" t="s">
        <v>0</v>
      </c>
      <c r="B3" s="4">
        <v>1</v>
      </c>
      <c r="C3" s="4" t="s">
        <v>3</v>
      </c>
      <c r="D3" s="4">
        <v>500</v>
      </c>
      <c r="E3" s="5"/>
      <c r="F3" s="6" t="s">
        <v>2</v>
      </c>
    </row>
    <row r="4" spans="1:6" ht="26.25" thickBot="1" x14ac:dyDescent="0.3">
      <c r="A4" s="22" t="s">
        <v>0</v>
      </c>
      <c r="B4" s="7">
        <v>1</v>
      </c>
      <c r="C4" s="7" t="s">
        <v>4</v>
      </c>
      <c r="D4" s="7">
        <v>700</v>
      </c>
      <c r="E4" s="8"/>
      <c r="F4" s="9" t="s">
        <v>2</v>
      </c>
    </row>
    <row r="5" spans="1:6" ht="26.25" thickBot="1" x14ac:dyDescent="0.3">
      <c r="A5" s="23" t="s">
        <v>5</v>
      </c>
      <c r="B5" s="1">
        <v>1</v>
      </c>
      <c r="C5" s="1" t="s">
        <v>6</v>
      </c>
      <c r="D5" s="1">
        <v>300</v>
      </c>
      <c r="E5" s="2">
        <f>D5+D6</f>
        <v>700</v>
      </c>
      <c r="F5" s="3" t="s">
        <v>2</v>
      </c>
    </row>
    <row r="6" spans="1:6" ht="26.25" thickBot="1" x14ac:dyDescent="0.3">
      <c r="A6" s="23" t="s">
        <v>5</v>
      </c>
      <c r="B6" s="7">
        <v>1</v>
      </c>
      <c r="C6" s="7" t="s">
        <v>7</v>
      </c>
      <c r="D6" s="7">
        <v>400</v>
      </c>
      <c r="E6" s="8"/>
      <c r="F6" s="9" t="s">
        <v>8</v>
      </c>
    </row>
    <row r="7" spans="1:6" ht="26.25" thickBot="1" x14ac:dyDescent="0.3">
      <c r="A7" s="23" t="s">
        <v>9</v>
      </c>
      <c r="B7" s="1">
        <v>1</v>
      </c>
      <c r="C7" s="1" t="s">
        <v>10</v>
      </c>
      <c r="D7" s="1">
        <v>240</v>
      </c>
      <c r="E7" s="2">
        <f>D7+D8+D9+D10</f>
        <v>1840</v>
      </c>
      <c r="F7" s="3" t="s">
        <v>11</v>
      </c>
    </row>
    <row r="8" spans="1:6" ht="26.25" thickBot="1" x14ac:dyDescent="0.3">
      <c r="A8" s="23" t="s">
        <v>9</v>
      </c>
      <c r="B8" s="4">
        <v>1</v>
      </c>
      <c r="C8" s="4" t="s">
        <v>12</v>
      </c>
      <c r="D8" s="4">
        <v>1200</v>
      </c>
      <c r="E8" s="5"/>
      <c r="F8" s="6" t="s">
        <v>2</v>
      </c>
    </row>
    <row r="9" spans="1:6" ht="26.25" thickBot="1" x14ac:dyDescent="0.3">
      <c r="A9" s="23" t="s">
        <v>9</v>
      </c>
      <c r="B9" s="4">
        <v>1</v>
      </c>
      <c r="C9" s="4" t="s">
        <v>13</v>
      </c>
      <c r="D9" s="4">
        <v>200</v>
      </c>
      <c r="E9" s="5"/>
      <c r="F9" s="6" t="s">
        <v>2</v>
      </c>
    </row>
    <row r="10" spans="1:6" ht="26.25" thickBot="1" x14ac:dyDescent="0.3">
      <c r="A10" s="23" t="s">
        <v>9</v>
      </c>
      <c r="B10" s="10">
        <v>1</v>
      </c>
      <c r="C10" s="10" t="s">
        <v>14</v>
      </c>
      <c r="D10" s="10">
        <v>200</v>
      </c>
      <c r="E10" s="8"/>
      <c r="F10" s="11" t="s">
        <v>8</v>
      </c>
    </row>
    <row r="11" spans="1:6" ht="26.25" thickBot="1" x14ac:dyDescent="0.3">
      <c r="A11" s="22" t="s">
        <v>15</v>
      </c>
      <c r="B11" s="1">
        <v>1</v>
      </c>
      <c r="C11" s="12" t="s">
        <v>16</v>
      </c>
      <c r="D11" s="12">
        <v>400</v>
      </c>
      <c r="E11" s="13">
        <f>D11+D12+D13+D14+D15+D16+D17+D18+D19+D20+D21+D22+D23+D24</f>
        <v>2350</v>
      </c>
      <c r="F11" s="3" t="s">
        <v>2</v>
      </c>
    </row>
    <row r="12" spans="1:6" ht="26.25" thickBot="1" x14ac:dyDescent="0.3">
      <c r="A12" s="22" t="s">
        <v>15</v>
      </c>
      <c r="B12" s="4">
        <v>1</v>
      </c>
      <c r="C12" s="14" t="s">
        <v>17</v>
      </c>
      <c r="D12" s="14">
        <v>100</v>
      </c>
      <c r="E12" s="15"/>
      <c r="F12" s="6" t="s">
        <v>2</v>
      </c>
    </row>
    <row r="13" spans="1:6" ht="26.25" thickBot="1" x14ac:dyDescent="0.3">
      <c r="A13" s="22" t="s">
        <v>15</v>
      </c>
      <c r="B13" s="4">
        <v>1</v>
      </c>
      <c r="C13" s="14" t="s">
        <v>18</v>
      </c>
      <c r="D13" s="14">
        <v>200</v>
      </c>
      <c r="E13" s="15"/>
      <c r="F13" s="6" t="s">
        <v>2</v>
      </c>
    </row>
    <row r="14" spans="1:6" ht="26.25" thickBot="1" x14ac:dyDescent="0.3">
      <c r="A14" s="22" t="s">
        <v>15</v>
      </c>
      <c r="B14" s="4">
        <v>1</v>
      </c>
      <c r="C14" s="14" t="s">
        <v>19</v>
      </c>
      <c r="D14" s="14">
        <v>400</v>
      </c>
      <c r="E14" s="15"/>
      <c r="F14" s="6" t="s">
        <v>2</v>
      </c>
    </row>
    <row r="15" spans="1:6" ht="26.25" thickBot="1" x14ac:dyDescent="0.3">
      <c r="A15" s="22" t="s">
        <v>15</v>
      </c>
      <c r="B15" s="4">
        <v>1</v>
      </c>
      <c r="C15" s="14" t="s">
        <v>20</v>
      </c>
      <c r="D15" s="14">
        <v>200</v>
      </c>
      <c r="E15" s="15"/>
      <c r="F15" s="6" t="s">
        <v>2</v>
      </c>
    </row>
    <row r="16" spans="1:6" ht="26.25" thickBot="1" x14ac:dyDescent="0.3">
      <c r="A16" s="22" t="s">
        <v>15</v>
      </c>
      <c r="B16" s="4">
        <v>1</v>
      </c>
      <c r="C16" s="14" t="s">
        <v>21</v>
      </c>
      <c r="D16" s="14">
        <v>400</v>
      </c>
      <c r="E16" s="15"/>
      <c r="F16" s="6" t="s">
        <v>2</v>
      </c>
    </row>
    <row r="17" spans="1:6" ht="26.25" thickBot="1" x14ac:dyDescent="0.3">
      <c r="A17" s="22" t="s">
        <v>15</v>
      </c>
      <c r="B17" s="4">
        <v>1</v>
      </c>
      <c r="C17" s="14" t="s">
        <v>22</v>
      </c>
      <c r="D17" s="14">
        <v>100</v>
      </c>
      <c r="E17" s="15"/>
      <c r="F17" s="6" t="s">
        <v>23</v>
      </c>
    </row>
    <row r="18" spans="1:6" ht="26.25" thickBot="1" x14ac:dyDescent="0.3">
      <c r="A18" s="22" t="s">
        <v>15</v>
      </c>
      <c r="B18" s="4">
        <v>1</v>
      </c>
      <c r="C18" s="4" t="s">
        <v>24</v>
      </c>
      <c r="D18" s="4">
        <v>150</v>
      </c>
      <c r="E18" s="15"/>
      <c r="F18" s="6" t="s">
        <v>2</v>
      </c>
    </row>
    <row r="19" spans="1:6" ht="26.25" thickBot="1" x14ac:dyDescent="0.3">
      <c r="A19" s="22" t="s">
        <v>15</v>
      </c>
      <c r="B19" s="4">
        <v>1</v>
      </c>
      <c r="C19" s="4" t="s">
        <v>25</v>
      </c>
      <c r="D19" s="4">
        <v>30</v>
      </c>
      <c r="E19" s="15"/>
      <c r="F19" s="6" t="s">
        <v>2</v>
      </c>
    </row>
    <row r="20" spans="1:6" ht="26.25" thickBot="1" x14ac:dyDescent="0.3">
      <c r="A20" s="22" t="s">
        <v>15</v>
      </c>
      <c r="B20" s="4">
        <v>1</v>
      </c>
      <c r="C20" s="4" t="s">
        <v>26</v>
      </c>
      <c r="D20" s="4">
        <v>100</v>
      </c>
      <c r="E20" s="15"/>
      <c r="F20" s="6" t="s">
        <v>2</v>
      </c>
    </row>
    <row r="21" spans="1:6" ht="26.25" thickBot="1" x14ac:dyDescent="0.3">
      <c r="A21" s="22" t="s">
        <v>15</v>
      </c>
      <c r="B21" s="4">
        <v>1</v>
      </c>
      <c r="C21" s="4" t="s">
        <v>27</v>
      </c>
      <c r="D21" s="4">
        <v>70</v>
      </c>
      <c r="E21" s="15"/>
      <c r="F21" s="6" t="s">
        <v>2</v>
      </c>
    </row>
    <row r="22" spans="1:6" ht="26.25" thickBot="1" x14ac:dyDescent="0.3">
      <c r="A22" s="22" t="s">
        <v>15</v>
      </c>
      <c r="B22" s="4">
        <v>1</v>
      </c>
      <c r="C22" s="4" t="s">
        <v>28</v>
      </c>
      <c r="D22" s="4">
        <v>100</v>
      </c>
      <c r="E22" s="15"/>
      <c r="F22" s="6" t="s">
        <v>2</v>
      </c>
    </row>
    <row r="23" spans="1:6" ht="26.25" thickBot="1" x14ac:dyDescent="0.3">
      <c r="A23" s="22" t="s">
        <v>15</v>
      </c>
      <c r="B23" s="16">
        <v>1</v>
      </c>
      <c r="C23" s="16" t="s">
        <v>29</v>
      </c>
      <c r="D23" s="16">
        <v>30</v>
      </c>
      <c r="E23" s="15"/>
      <c r="F23" s="6" t="s">
        <v>2</v>
      </c>
    </row>
    <row r="24" spans="1:6" ht="26.25" thickBot="1" x14ac:dyDescent="0.3">
      <c r="A24" s="22" t="s">
        <v>15</v>
      </c>
      <c r="B24" s="7">
        <v>1</v>
      </c>
      <c r="C24" s="7" t="s">
        <v>30</v>
      </c>
      <c r="D24" s="7">
        <v>70</v>
      </c>
      <c r="E24" s="17"/>
      <c r="F24" s="9" t="s">
        <v>2</v>
      </c>
    </row>
    <row r="25" spans="1:6" ht="26.25" thickBot="1" x14ac:dyDescent="0.3">
      <c r="A25" s="22" t="s">
        <v>31</v>
      </c>
      <c r="B25" s="1">
        <v>1</v>
      </c>
      <c r="C25" s="1" t="s">
        <v>32</v>
      </c>
      <c r="D25" s="1">
        <v>100</v>
      </c>
      <c r="E25" s="2">
        <f>D25+D26</f>
        <v>600</v>
      </c>
      <c r="F25" s="3" t="s">
        <v>33</v>
      </c>
    </row>
    <row r="26" spans="1:6" ht="26.25" thickBot="1" x14ac:dyDescent="0.3">
      <c r="A26" s="22" t="s">
        <v>31</v>
      </c>
      <c r="B26" s="7">
        <v>1</v>
      </c>
      <c r="C26" s="7" t="s">
        <v>34</v>
      </c>
      <c r="D26" s="7">
        <v>500</v>
      </c>
      <c r="E26" s="8"/>
      <c r="F26" s="9" t="s">
        <v>2</v>
      </c>
    </row>
    <row r="27" spans="1:6" ht="23.25" thickBot="1" x14ac:dyDescent="0.3">
      <c r="A27" s="24" t="s">
        <v>35</v>
      </c>
      <c r="B27" s="18">
        <f>SUM(B2:B26)</f>
        <v>25</v>
      </c>
      <c r="C27" s="18" t="s">
        <v>8</v>
      </c>
      <c r="D27" s="18">
        <f>SUM(D2:D26)</f>
        <v>6720</v>
      </c>
      <c r="E27" s="19">
        <f>E25+E11+E7+E5+E2</f>
        <v>6720</v>
      </c>
      <c r="F27" s="20"/>
    </row>
  </sheetData>
  <mergeCells count="5">
    <mergeCell ref="E25:E26"/>
    <mergeCell ref="E7:E10"/>
    <mergeCell ref="E11:E24"/>
    <mergeCell ref="E2:E4"/>
    <mergeCell ref="E5:E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noura</dc:creator>
  <cp:lastModifiedBy>Noura Ferjani</cp:lastModifiedBy>
  <dcterms:created xsi:type="dcterms:W3CDTF">2015-06-05T18:19:34Z</dcterms:created>
  <dcterms:modified xsi:type="dcterms:W3CDTF">2025-11-21T15:43:47Z</dcterms:modified>
</cp:coreProperties>
</file>