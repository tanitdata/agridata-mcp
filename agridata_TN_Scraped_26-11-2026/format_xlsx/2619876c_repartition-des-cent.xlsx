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Feuil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2" l="1"/>
  <c r="J10" i="2"/>
  <c r="J7" i="2"/>
  <c r="J4" i="2"/>
</calcChain>
</file>

<file path=xl/sharedStrings.xml><?xml version="1.0" encoding="utf-8"?>
<sst xmlns="http://schemas.openxmlformats.org/spreadsheetml/2006/main" count="26" uniqueCount="26">
  <si>
    <t>المعتمديــة</t>
  </si>
  <si>
    <t>طينــــــة</t>
  </si>
  <si>
    <t>المحرس</t>
  </si>
  <si>
    <t xml:space="preserve">بئر علي </t>
  </si>
  <si>
    <t>الغريبة</t>
  </si>
  <si>
    <t>قرقنة</t>
  </si>
  <si>
    <t>منزل شاكر</t>
  </si>
  <si>
    <t>الحنشة</t>
  </si>
  <si>
    <t>ساقية الدائر</t>
  </si>
  <si>
    <t>جبنيانة</t>
  </si>
  <si>
    <t>العامرة</t>
  </si>
  <si>
    <t>صفاقس الجنوبية</t>
  </si>
  <si>
    <t>عقارب</t>
  </si>
  <si>
    <t>الصخيرة</t>
  </si>
  <si>
    <t>مراكز التجميع 2018</t>
  </si>
  <si>
    <t>مراكز التجميع 2019</t>
  </si>
  <si>
    <t>مراكز التجميع 2020</t>
  </si>
  <si>
    <t xml:space="preserve">طاقة التبريد (لتر/يوم) 2018  </t>
  </si>
  <si>
    <t>طاقة التبريد (لتر/يوم) 2019</t>
  </si>
  <si>
    <t>طاقة التبريد (لتر/يوم) 2020</t>
  </si>
  <si>
    <t>الكمية  المجمعة (طن) 2018</t>
  </si>
  <si>
    <t>الكمية  المجمعة (طن) 2019</t>
  </si>
  <si>
    <t>الكمية  المجمعة (طن) 2020</t>
  </si>
  <si>
    <t>الكمية الموجهة للتصنيع (طن) 2018</t>
  </si>
  <si>
    <t>الكمية الموجهة للتصنيع (طن) 2019</t>
  </si>
  <si>
    <t>الكمية الموجهة للتصنيع (طن)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</si>
</sst>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name val="Arial Unicode MS"/>
      <family val="2"/>
    </font>
    <font>
      <b/>
      <sz val="12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readingOrder="2"/>
    </xf>
    <xf numFmtId="1" fontId="1" fillId="3" borderId="1" xfId="0" applyNumberFormat="1" applyFont="1" applyFill="1" applyBorder="1" applyAlignment="1">
      <alignment horizontal="center" readingOrder="2"/>
    </xf>
    <xf numFmtId="1" fontId="0" fillId="0" borderId="0" xfId="0" applyNumberFormat="1"/>
    <xf numFmtId="0" fontId="2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1" fontId="2" fillId="3" borderId="4" xfId="0" applyNumberFormat="1" applyFont="1" applyFill="1" applyBorder="1"/>
    <xf numFmtId="1" fontId="1" fillId="3" borderId="5" xfId="0" applyNumberFormat="1" applyFont="1" applyFill="1" applyBorder="1" applyAlignment="1">
      <alignment horizontal="center" readingOrder="2"/>
    </xf>
    <xf numFmtId="0" fontId="2" fillId="3" borderId="6" xfId="0" applyFont="1" applyFill="1" applyBorder="1"/>
    <xf numFmtId="0" fontId="1" fillId="3" borderId="7" xfId="0" applyFont="1" applyFill="1" applyBorder="1" applyAlignment="1">
      <alignment horizontal="center" readingOrder="2"/>
    </xf>
    <xf numFmtId="1" fontId="1" fillId="3" borderId="8" xfId="0" applyNumberFormat="1" applyFont="1" applyFill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tabSelected="1" workbookViewId="0">
      <selection activeCell="F21" sqref="F21"/>
    </sheetView>
  </sheetViews>
  <sheetFormatPr baseColWidth="10" defaultColWidth="9.109375" defaultRowHeight="14.4"/>
  <cols>
    <col min="1" max="1" width="13.109375" customWidth="1"/>
  </cols>
  <sheetData>
    <row r="1" spans="1:13" ht="15" customHeight="1">
      <c r="A1" s="4" t="s">
        <v>0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</row>
    <row r="2" spans="1:13" ht="15.6">
      <c r="A2" s="6" t="s">
        <v>1</v>
      </c>
      <c r="B2" s="1">
        <v>1</v>
      </c>
      <c r="C2" s="1">
        <v>1</v>
      </c>
      <c r="D2" s="1">
        <v>1</v>
      </c>
      <c r="E2" s="1">
        <v>22200</v>
      </c>
      <c r="F2" s="1">
        <v>22200</v>
      </c>
      <c r="G2" s="1">
        <v>22200</v>
      </c>
      <c r="H2" s="1">
        <v>3537</v>
      </c>
      <c r="I2" s="1">
        <v>2636</v>
      </c>
      <c r="J2" s="1">
        <v>3020.7249999999999</v>
      </c>
      <c r="K2" s="1">
        <v>3353</v>
      </c>
      <c r="L2" s="2">
        <v>3311.0507317073175</v>
      </c>
      <c r="M2" s="7">
        <v>3890</v>
      </c>
    </row>
    <row r="3" spans="1:13" ht="15.6">
      <c r="A3" s="6" t="s">
        <v>2</v>
      </c>
      <c r="B3" s="1">
        <v>2</v>
      </c>
      <c r="C3" s="1">
        <v>2</v>
      </c>
      <c r="D3" s="1">
        <v>2</v>
      </c>
      <c r="E3" s="1">
        <v>10040</v>
      </c>
      <c r="F3" s="1">
        <v>10040</v>
      </c>
      <c r="G3" s="1">
        <v>0</v>
      </c>
      <c r="H3" s="1">
        <v>1146</v>
      </c>
      <c r="I3" s="1">
        <v>198</v>
      </c>
      <c r="J3" s="1">
        <v>0</v>
      </c>
      <c r="K3" s="1">
        <v>1146</v>
      </c>
      <c r="L3" s="1">
        <v>530</v>
      </c>
      <c r="M3" s="7">
        <v>0</v>
      </c>
    </row>
    <row r="4" spans="1:13" ht="15.6">
      <c r="A4" s="6" t="s">
        <v>3</v>
      </c>
      <c r="B4" s="1">
        <v>2</v>
      </c>
      <c r="C4" s="1">
        <v>2</v>
      </c>
      <c r="D4" s="1">
        <v>2</v>
      </c>
      <c r="E4" s="1">
        <v>10000</v>
      </c>
      <c r="F4" s="1">
        <v>10000</v>
      </c>
      <c r="G4" s="1">
        <v>10000</v>
      </c>
      <c r="H4" s="1">
        <v>1512</v>
      </c>
      <c r="I4" s="1">
        <v>1390</v>
      </c>
      <c r="J4" s="1">
        <f>1241.81+144.94</f>
        <v>1386.75</v>
      </c>
      <c r="K4" s="1">
        <v>1512</v>
      </c>
      <c r="L4" s="1">
        <v>1290</v>
      </c>
      <c r="M4" s="7">
        <v>1496</v>
      </c>
    </row>
    <row r="5" spans="1:13" ht="15.6">
      <c r="A5" s="6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7">
        <v>0</v>
      </c>
    </row>
    <row r="6" spans="1:13" ht="15.6">
      <c r="A6" s="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7">
        <v>0</v>
      </c>
    </row>
    <row r="7" spans="1:13" ht="15.6">
      <c r="A7" s="6" t="s">
        <v>6</v>
      </c>
      <c r="B7" s="1">
        <v>3</v>
      </c>
      <c r="C7" s="1">
        <v>3</v>
      </c>
      <c r="D7" s="1">
        <v>3</v>
      </c>
      <c r="E7" s="1">
        <v>48000</v>
      </c>
      <c r="F7" s="1">
        <v>48000</v>
      </c>
      <c r="G7" s="1">
        <v>40000</v>
      </c>
      <c r="H7" s="1">
        <v>6736</v>
      </c>
      <c r="I7" s="1">
        <v>7886</v>
      </c>
      <c r="J7" s="1">
        <f>2374.541+5656.034</f>
        <v>8030.5749999999998</v>
      </c>
      <c r="K7" s="1">
        <v>6736</v>
      </c>
      <c r="L7" s="1">
        <v>7400</v>
      </c>
      <c r="M7" s="7">
        <v>8011</v>
      </c>
    </row>
    <row r="8" spans="1:13" ht="15.6">
      <c r="A8" s="6" t="s">
        <v>7</v>
      </c>
      <c r="B8" s="1">
        <v>1</v>
      </c>
      <c r="C8" s="1">
        <v>1</v>
      </c>
      <c r="D8" s="1">
        <v>1</v>
      </c>
      <c r="E8" s="1">
        <v>20000</v>
      </c>
      <c r="F8" s="1">
        <v>20000</v>
      </c>
      <c r="G8" s="1">
        <v>20000</v>
      </c>
      <c r="H8" s="1">
        <v>5805</v>
      </c>
      <c r="I8" s="1">
        <v>6126</v>
      </c>
      <c r="J8" s="1">
        <v>6497.2560000000003</v>
      </c>
      <c r="K8" s="1">
        <v>5805</v>
      </c>
      <c r="L8" s="1">
        <v>5780</v>
      </c>
      <c r="M8" s="7">
        <v>6491</v>
      </c>
    </row>
    <row r="9" spans="1:13" ht="15.6">
      <c r="A9" s="6" t="s">
        <v>8</v>
      </c>
      <c r="B9" s="1">
        <v>2</v>
      </c>
      <c r="C9" s="1">
        <v>2</v>
      </c>
      <c r="D9" s="1">
        <v>2</v>
      </c>
      <c r="E9" s="1">
        <v>26000</v>
      </c>
      <c r="F9" s="1">
        <v>26000</v>
      </c>
      <c r="G9" s="1">
        <v>26000</v>
      </c>
      <c r="H9" s="1">
        <v>5918</v>
      </c>
      <c r="I9" s="1">
        <v>6024</v>
      </c>
      <c r="J9" s="1">
        <v>6121.6229999999996</v>
      </c>
      <c r="K9" s="1">
        <v>5918</v>
      </c>
      <c r="L9" s="1">
        <v>5690</v>
      </c>
      <c r="M9" s="7">
        <v>6121</v>
      </c>
    </row>
    <row r="10" spans="1:13" ht="15.6">
      <c r="A10" s="6" t="s">
        <v>9</v>
      </c>
      <c r="B10" s="1">
        <v>3</v>
      </c>
      <c r="C10" s="1">
        <v>3</v>
      </c>
      <c r="D10" s="1">
        <v>3</v>
      </c>
      <c r="E10" s="1">
        <v>41000</v>
      </c>
      <c r="F10" s="1">
        <v>41000</v>
      </c>
      <c r="G10" s="1">
        <v>41000</v>
      </c>
      <c r="H10" s="1">
        <v>10506</v>
      </c>
      <c r="I10" s="1">
        <v>14240</v>
      </c>
      <c r="J10" s="1">
        <f>2610.567+6387.299+1230.606+4713.049</f>
        <v>14941.521000000001</v>
      </c>
      <c r="K10" s="1">
        <v>10506</v>
      </c>
      <c r="L10" s="1">
        <v>12940</v>
      </c>
      <c r="M10" s="7">
        <v>14582</v>
      </c>
    </row>
    <row r="11" spans="1:13" ht="15.6">
      <c r="A11" s="6" t="s">
        <v>10</v>
      </c>
      <c r="B11" s="1">
        <v>3</v>
      </c>
      <c r="C11" s="1">
        <v>3</v>
      </c>
      <c r="D11" s="1">
        <v>3</v>
      </c>
      <c r="E11" s="1">
        <v>35000</v>
      </c>
      <c r="F11" s="1">
        <v>35000</v>
      </c>
      <c r="G11" s="1">
        <v>35000</v>
      </c>
      <c r="H11" s="1">
        <v>11251</v>
      </c>
      <c r="I11" s="1">
        <v>13839</v>
      </c>
      <c r="J11" s="1">
        <f>6739.915+3198.507+4859.076+1105.35</f>
        <v>15902.848</v>
      </c>
      <c r="K11" s="1">
        <v>11251</v>
      </c>
      <c r="L11" s="1">
        <v>12900</v>
      </c>
      <c r="M11" s="7">
        <v>14646</v>
      </c>
    </row>
    <row r="12" spans="1:13" ht="15.6">
      <c r="A12" s="6" t="s">
        <v>11</v>
      </c>
      <c r="B12" s="1">
        <v>1</v>
      </c>
      <c r="C12" s="1">
        <v>1</v>
      </c>
      <c r="D12" s="1">
        <v>1</v>
      </c>
      <c r="E12" s="1">
        <v>17000</v>
      </c>
      <c r="F12" s="1">
        <v>17000</v>
      </c>
      <c r="G12" s="1">
        <v>17000</v>
      </c>
      <c r="H12" s="1">
        <v>3972</v>
      </c>
      <c r="I12" s="1">
        <v>1378</v>
      </c>
      <c r="J12" s="1">
        <v>1933.6010000000001</v>
      </c>
      <c r="K12" s="1">
        <v>3972</v>
      </c>
      <c r="L12" s="1">
        <v>1296</v>
      </c>
      <c r="M12" s="7">
        <v>1933</v>
      </c>
    </row>
    <row r="13" spans="1:13" ht="15.6">
      <c r="A13" s="6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7">
        <v>0</v>
      </c>
    </row>
    <row r="14" spans="1:13" ht="16.2" thickBot="1">
      <c r="A14" s="8" t="s">
        <v>13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10">
        <v>0</v>
      </c>
    </row>
    <row r="25" spans="10:10">
      <c r="J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2021-06-28T14:41:52Z</dcterms:modified>
</cp:coreProperties>
</file>