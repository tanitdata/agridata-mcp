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Gafsa\2025\"/>
    </mc:Choice>
  </mc:AlternateContent>
  <xr:revisionPtr revIDLastSave="0" documentId="13_ncr:1_{1ED4D4AC-498E-4B49-848D-A9CB9F33B8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1" l="1"/>
  <c r="E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9" i="1" l="1"/>
</calcChain>
</file>

<file path=xl/sharedStrings.xml><?xml version="1.0" encoding="utf-8"?>
<sst xmlns="http://schemas.openxmlformats.org/spreadsheetml/2006/main" count="59" uniqueCount="59">
  <si>
    <t>قفصة الشمالية</t>
  </si>
  <si>
    <t>من 3 إلى 100</t>
  </si>
  <si>
    <t>من 0,5 إلى 4</t>
  </si>
  <si>
    <t>الميوسان ام العرائس- الرديف</t>
  </si>
  <si>
    <t>من 30 إلى 150</t>
  </si>
  <si>
    <t>من 1 إلى 8</t>
  </si>
  <si>
    <t>المركب النهائي للقويفلة</t>
  </si>
  <si>
    <t>من 2 إلى 47</t>
  </si>
  <si>
    <t>من 3 إلى 9</t>
  </si>
  <si>
    <t>البليورباعي أم العرائس- الرديف</t>
  </si>
  <si>
    <t>من 3 إلى 50</t>
  </si>
  <si>
    <t>من 1,5 إلى 3</t>
  </si>
  <si>
    <t>قفصة الجنوبية 1</t>
  </si>
  <si>
    <t>من 20 إلى 70</t>
  </si>
  <si>
    <t>من 2 إلى 5</t>
  </si>
  <si>
    <t>شط الغرسة الشمالية</t>
  </si>
  <si>
    <t>من 20 إلى 120</t>
  </si>
  <si>
    <t>من 3,5 إلى 5</t>
  </si>
  <si>
    <t>القطار</t>
  </si>
  <si>
    <t>من 20 إلى 145</t>
  </si>
  <si>
    <t>من 1,3 إلى 4</t>
  </si>
  <si>
    <t>سيدي أحمد زروق</t>
  </si>
  <si>
    <t>من 10 إلى 20</t>
  </si>
  <si>
    <t>من 9 إلى 20</t>
  </si>
  <si>
    <t>جبل بلخير</t>
  </si>
  <si>
    <t>من 60 إلى 130</t>
  </si>
  <si>
    <t>من 2 إلى 4</t>
  </si>
  <si>
    <t>الزباق الأعلى سبخة النوايل</t>
  </si>
  <si>
    <t>-</t>
  </si>
  <si>
    <t>من 1 إلى 4</t>
  </si>
  <si>
    <r>
      <t xml:space="preserve">المكناسي </t>
    </r>
    <r>
      <rPr>
        <sz val="10"/>
        <color theme="1"/>
        <rFont val="Times New Roman"/>
        <family val="1"/>
      </rPr>
      <t>Z1</t>
    </r>
  </si>
  <si>
    <t>من 110 إلى 140</t>
  </si>
  <si>
    <t>من 1 إلى 4,5</t>
  </si>
  <si>
    <t>الميوسان سبخة النوايل</t>
  </si>
  <si>
    <t>من 18 إلى 60</t>
  </si>
  <si>
    <t>من 2 إلى 3</t>
  </si>
  <si>
    <t>سيدي عيش 2</t>
  </si>
  <si>
    <t>من 6 إلى 40</t>
  </si>
  <si>
    <t>من 0,5 إلى 2</t>
  </si>
  <si>
    <t>المكناسي 2</t>
  </si>
  <si>
    <t>من 50 إلى 80</t>
  </si>
  <si>
    <t>من 0,4 إلى 1,5</t>
  </si>
  <si>
    <t>سيدي بوضياف</t>
  </si>
  <si>
    <t>من 18 إلى 35</t>
  </si>
  <si>
    <t>من 2,0 إلى 4</t>
  </si>
  <si>
    <t>قفصة الجنوبية 2</t>
  </si>
  <si>
    <t>من 102 إلى 110</t>
  </si>
  <si>
    <t>إيوسان بوعمران-بوسعد</t>
  </si>
  <si>
    <t>من 79 إلى 120</t>
  </si>
  <si>
    <t>المجموع</t>
  </si>
  <si>
    <t>1785(منهم 966 عشوائي)</t>
  </si>
  <si>
    <t>Année</t>
  </si>
  <si>
    <t>Nom de la nappe</t>
  </si>
  <si>
    <t>Profondeur (m)</t>
  </si>
  <si>
    <t>Salinité (g/l)</t>
  </si>
  <si>
    <t>Ressources disponibles (million m3)</t>
  </si>
  <si>
    <t>Ressources exploitées (million m3)</t>
  </si>
  <si>
    <t>Taux d'exploitation</t>
  </si>
  <si>
    <t>Nombre de puits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</si>
</sst>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abic Transparent"/>
      <charset val="178"/>
    </font>
    <font>
      <sz val="10"/>
      <color theme="1"/>
      <name val="Arabic Transparent"/>
      <charset val="178"/>
    </font>
    <font>
      <sz val="11"/>
      <color theme="1"/>
      <name val="Arabic Transparent"/>
      <charset val="178"/>
    </font>
    <font>
      <sz val="12"/>
      <color rgb="FF000000"/>
      <name val="Calibri"/>
      <family val="2"/>
      <scheme val="minor"/>
    </font>
    <font>
      <sz val="10"/>
      <color theme="1"/>
      <name val="Times New Roman"/>
      <family val="1"/>
    </font>
    <font>
      <b/>
      <sz val="13"/>
      <color theme="1"/>
      <name val="Arabic Transparent"/>
      <charset val="178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top" wrapText="1" readingOrder="2"/>
    </xf>
    <xf numFmtId="0" fontId="5" fillId="0" borderId="1" xfId="0" applyFont="1" applyBorder="1" applyAlignment="1">
      <alignment horizontal="center" wrapText="1" readingOrder="2"/>
    </xf>
    <xf numFmtId="9" fontId="5" fillId="0" borderId="1" xfId="0" applyNumberFormat="1" applyFont="1" applyBorder="1" applyAlignment="1">
      <alignment horizontal="center" wrapText="1" readingOrder="2"/>
    </xf>
    <xf numFmtId="9" fontId="5" fillId="0" borderId="1" xfId="0" applyNumberFormat="1" applyFont="1" applyBorder="1" applyAlignment="1">
      <alignment horizontal="center" vertical="center" wrapText="1" readingOrder="2"/>
    </xf>
    <xf numFmtId="0" fontId="7" fillId="3" borderId="1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8" fillId="3" borderId="1" xfId="0" applyFont="1" applyFill="1" applyBorder="1" applyAlignment="1">
      <alignment horizontal="center" vertical="center" wrapText="1" readingOrder="2"/>
    </xf>
    <xf numFmtId="9" fontId="8" fillId="3" borderId="1" xfId="0" applyNumberFormat="1" applyFont="1" applyFill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E24" sqref="E24"/>
    </sheetView>
  </sheetViews>
  <sheetFormatPr baseColWidth="10" defaultColWidth="9.140625" defaultRowHeight="15" x14ac:dyDescent="0.25"/>
  <cols>
    <col min="2" max="3" width="20.42578125" customWidth="1"/>
    <col min="4" max="4" width="17.42578125" customWidth="1"/>
    <col min="5" max="5" width="25.5703125" customWidth="1"/>
    <col min="6" max="6" width="26" customWidth="1"/>
    <col min="7" max="7" width="20.42578125" customWidth="1"/>
    <col min="8" max="8" width="24" customWidth="1"/>
  </cols>
  <sheetData>
    <row r="1" spans="1:8" ht="21.75" customHeight="1" x14ac:dyDescent="0.25">
      <c r="A1" s="12" t="s">
        <v>51</v>
      </c>
      <c r="B1" s="12" t="s">
        <v>52</v>
      </c>
      <c r="C1" s="12" t="s">
        <v>53</v>
      </c>
      <c r="D1" s="12" t="s">
        <v>54</v>
      </c>
      <c r="E1" s="12" t="s">
        <v>55</v>
      </c>
      <c r="F1" s="12" t="s">
        <v>56</v>
      </c>
      <c r="G1" s="12" t="s">
        <v>57</v>
      </c>
      <c r="H1" s="12" t="s">
        <v>58</v>
      </c>
    </row>
    <row r="2" spans="1:8" ht="21.75" customHeight="1" x14ac:dyDescent="0.25">
      <c r="A2" s="1">
        <v>2023</v>
      </c>
      <c r="B2" s="2" t="s">
        <v>0</v>
      </c>
      <c r="C2" s="3" t="s">
        <v>1</v>
      </c>
      <c r="D2" s="3" t="s">
        <v>2</v>
      </c>
      <c r="E2" s="4">
        <v>33.1</v>
      </c>
      <c r="F2" s="5">
        <v>96.204999999999998</v>
      </c>
      <c r="G2" s="6">
        <f>(F2/E2)</f>
        <v>2.9064954682779454</v>
      </c>
      <c r="H2" s="5">
        <v>1613</v>
      </c>
    </row>
    <row r="3" spans="1:8" ht="21.75" customHeight="1" x14ac:dyDescent="0.25">
      <c r="A3" s="1">
        <v>2023</v>
      </c>
      <c r="B3" s="2" t="s">
        <v>3</v>
      </c>
      <c r="C3" s="3" t="s">
        <v>4</v>
      </c>
      <c r="D3" s="3" t="s">
        <v>5</v>
      </c>
      <c r="E3" s="4">
        <v>17.8</v>
      </c>
      <c r="F3" s="5">
        <v>13.68</v>
      </c>
      <c r="G3" s="7">
        <f t="shared" ref="G3:G19" si="0">(F3/E3)</f>
        <v>0.76853932584269657</v>
      </c>
      <c r="H3" s="5">
        <v>65</v>
      </c>
    </row>
    <row r="4" spans="1:8" ht="21.75" customHeight="1" x14ac:dyDescent="0.25">
      <c r="A4" s="1">
        <v>2023</v>
      </c>
      <c r="B4" s="2" t="s">
        <v>6</v>
      </c>
      <c r="C4" s="3" t="s">
        <v>7</v>
      </c>
      <c r="D4" s="3" t="s">
        <v>8</v>
      </c>
      <c r="E4" s="4">
        <v>9</v>
      </c>
      <c r="F4" s="5">
        <v>3.06</v>
      </c>
      <c r="G4" s="7">
        <f t="shared" si="0"/>
        <v>0.34</v>
      </c>
      <c r="H4" s="5">
        <v>11</v>
      </c>
    </row>
    <row r="5" spans="1:8" ht="21.75" customHeight="1" x14ac:dyDescent="0.25">
      <c r="A5" s="1">
        <v>2023</v>
      </c>
      <c r="B5" s="2" t="s">
        <v>9</v>
      </c>
      <c r="C5" s="3" t="s">
        <v>10</v>
      </c>
      <c r="D5" s="3" t="s">
        <v>11</v>
      </c>
      <c r="E5" s="4">
        <v>7.3</v>
      </c>
      <c r="F5" s="5">
        <v>8.4</v>
      </c>
      <c r="G5" s="7">
        <f t="shared" si="0"/>
        <v>1.1506849315068495</v>
      </c>
      <c r="H5" s="5">
        <v>40</v>
      </c>
    </row>
    <row r="6" spans="1:8" ht="21.75" customHeight="1" x14ac:dyDescent="0.25">
      <c r="A6" s="1">
        <v>2023</v>
      </c>
      <c r="B6" s="2" t="s">
        <v>12</v>
      </c>
      <c r="C6" s="3" t="s">
        <v>13</v>
      </c>
      <c r="D6" s="3" t="s">
        <v>14</v>
      </c>
      <c r="E6" s="4">
        <v>6.5</v>
      </c>
      <c r="F6" s="5">
        <v>4.6900000000000004</v>
      </c>
      <c r="G6" s="7">
        <f t="shared" si="0"/>
        <v>0.72153846153846157</v>
      </c>
      <c r="H6" s="5">
        <v>55</v>
      </c>
    </row>
    <row r="7" spans="1:8" ht="21.75" customHeight="1" x14ac:dyDescent="0.25">
      <c r="A7" s="1">
        <v>2023</v>
      </c>
      <c r="B7" s="2" t="s">
        <v>15</v>
      </c>
      <c r="C7" s="3" t="s">
        <v>16</v>
      </c>
      <c r="D7" s="3" t="s">
        <v>17</v>
      </c>
      <c r="E7" s="4">
        <v>6.3</v>
      </c>
      <c r="F7" s="5">
        <v>8.1</v>
      </c>
      <c r="G7" s="7">
        <f t="shared" si="0"/>
        <v>1.2857142857142856</v>
      </c>
      <c r="H7" s="5">
        <v>32</v>
      </c>
    </row>
    <row r="8" spans="1:8" ht="21.75" customHeight="1" x14ac:dyDescent="0.25">
      <c r="A8" s="1">
        <v>2023</v>
      </c>
      <c r="B8" s="2" t="s">
        <v>18</v>
      </c>
      <c r="C8" s="3" t="s">
        <v>19</v>
      </c>
      <c r="D8" s="3" t="s">
        <v>20</v>
      </c>
      <c r="E8" s="4">
        <v>3.5</v>
      </c>
      <c r="F8" s="5">
        <v>9.33</v>
      </c>
      <c r="G8" s="7">
        <f t="shared" si="0"/>
        <v>2.6657142857142859</v>
      </c>
      <c r="H8" s="5">
        <v>23</v>
      </c>
    </row>
    <row r="9" spans="1:8" ht="21.75" customHeight="1" x14ac:dyDescent="0.25">
      <c r="A9" s="1">
        <v>2023</v>
      </c>
      <c r="B9" s="2" t="s">
        <v>21</v>
      </c>
      <c r="C9" s="3" t="s">
        <v>22</v>
      </c>
      <c r="D9" s="3" t="s">
        <v>23</v>
      </c>
      <c r="E9" s="4">
        <v>2.1</v>
      </c>
      <c r="F9" s="5">
        <v>0.15</v>
      </c>
      <c r="G9" s="7">
        <f t="shared" si="0"/>
        <v>7.1428571428571425E-2</v>
      </c>
      <c r="H9" s="5">
        <v>3</v>
      </c>
    </row>
    <row r="10" spans="1:8" ht="21.75" customHeight="1" x14ac:dyDescent="0.25">
      <c r="A10" s="1">
        <v>2023</v>
      </c>
      <c r="B10" s="2" t="s">
        <v>24</v>
      </c>
      <c r="C10" s="3" t="s">
        <v>25</v>
      </c>
      <c r="D10" s="3" t="s">
        <v>26</v>
      </c>
      <c r="E10" s="4">
        <v>1.6</v>
      </c>
      <c r="F10" s="5">
        <v>3.42</v>
      </c>
      <c r="G10" s="7">
        <f t="shared" si="0"/>
        <v>2.1374999999999997</v>
      </c>
      <c r="H10" s="5">
        <v>4</v>
      </c>
    </row>
    <row r="11" spans="1:8" ht="21.75" customHeight="1" x14ac:dyDescent="0.25">
      <c r="A11" s="1">
        <v>2023</v>
      </c>
      <c r="B11" s="2" t="s">
        <v>27</v>
      </c>
      <c r="C11" s="3" t="s">
        <v>28</v>
      </c>
      <c r="D11" s="3" t="s">
        <v>29</v>
      </c>
      <c r="E11" s="4">
        <v>1.6</v>
      </c>
      <c r="F11" s="5">
        <v>0.48</v>
      </c>
      <c r="G11" s="7">
        <f t="shared" si="0"/>
        <v>0.3</v>
      </c>
      <c r="H11" s="5">
        <v>1</v>
      </c>
    </row>
    <row r="12" spans="1:8" ht="21.75" customHeight="1" x14ac:dyDescent="0.25">
      <c r="A12" s="1">
        <v>2023</v>
      </c>
      <c r="B12" s="2" t="s">
        <v>30</v>
      </c>
      <c r="C12" s="3" t="s">
        <v>31</v>
      </c>
      <c r="D12" s="3" t="s">
        <v>32</v>
      </c>
      <c r="E12" s="4">
        <v>1.5</v>
      </c>
      <c r="F12" s="5">
        <v>0.79</v>
      </c>
      <c r="G12" s="7">
        <f t="shared" si="0"/>
        <v>0.52666666666666673</v>
      </c>
      <c r="H12" s="5">
        <v>13</v>
      </c>
    </row>
    <row r="13" spans="1:8" ht="21.75" customHeight="1" x14ac:dyDescent="0.25">
      <c r="A13" s="1">
        <v>2023</v>
      </c>
      <c r="B13" s="2" t="s">
        <v>33</v>
      </c>
      <c r="C13" s="3" t="s">
        <v>34</v>
      </c>
      <c r="D13" s="3" t="s">
        <v>35</v>
      </c>
      <c r="E13" s="4">
        <v>1.3</v>
      </c>
      <c r="F13" s="5">
        <v>0.19</v>
      </c>
      <c r="G13" s="7">
        <f t="shared" si="0"/>
        <v>0.14615384615384616</v>
      </c>
      <c r="H13" s="5">
        <v>3</v>
      </c>
    </row>
    <row r="14" spans="1:8" ht="21.75" customHeight="1" x14ac:dyDescent="0.25">
      <c r="A14" s="1">
        <v>2023</v>
      </c>
      <c r="B14" s="2" t="s">
        <v>36</v>
      </c>
      <c r="C14" s="3" t="s">
        <v>37</v>
      </c>
      <c r="D14" s="3" t="s">
        <v>38</v>
      </c>
      <c r="E14" s="4">
        <v>1</v>
      </c>
      <c r="F14" s="5">
        <v>0.92200000000000004</v>
      </c>
      <c r="G14" s="7">
        <f t="shared" si="0"/>
        <v>0.92200000000000004</v>
      </c>
      <c r="H14" s="5">
        <v>3</v>
      </c>
    </row>
    <row r="15" spans="1:8" ht="21.75" customHeight="1" x14ac:dyDescent="0.25">
      <c r="A15" s="1">
        <v>2023</v>
      </c>
      <c r="B15" s="2" t="s">
        <v>39</v>
      </c>
      <c r="C15" s="3" t="s">
        <v>40</v>
      </c>
      <c r="D15" s="3" t="s">
        <v>41</v>
      </c>
      <c r="E15" s="4">
        <v>1</v>
      </c>
      <c r="F15" s="5">
        <v>2.2999999999999998</v>
      </c>
      <c r="G15" s="7">
        <f t="shared" si="0"/>
        <v>2.2999999999999998</v>
      </c>
      <c r="H15" s="5">
        <v>18</v>
      </c>
    </row>
    <row r="16" spans="1:8" ht="21.75" customHeight="1" x14ac:dyDescent="0.25">
      <c r="A16" s="1">
        <v>2023</v>
      </c>
      <c r="B16" s="2" t="s">
        <v>42</v>
      </c>
      <c r="C16" s="3" t="s">
        <v>43</v>
      </c>
      <c r="D16" s="3" t="s">
        <v>44</v>
      </c>
      <c r="E16" s="4">
        <v>1</v>
      </c>
      <c r="F16" s="5">
        <v>0.08</v>
      </c>
      <c r="G16" s="7">
        <f t="shared" si="0"/>
        <v>0.08</v>
      </c>
      <c r="H16" s="5">
        <v>3</v>
      </c>
    </row>
    <row r="17" spans="1:8" ht="21.75" customHeight="1" x14ac:dyDescent="0.25">
      <c r="A17" s="1">
        <v>2023</v>
      </c>
      <c r="B17" s="2" t="s">
        <v>45</v>
      </c>
      <c r="C17" s="3" t="s">
        <v>46</v>
      </c>
      <c r="D17" s="3">
        <v>3.5</v>
      </c>
      <c r="E17" s="4">
        <v>0.3</v>
      </c>
      <c r="F17" s="5">
        <v>0.34</v>
      </c>
      <c r="G17" s="7">
        <f t="shared" si="0"/>
        <v>1.1333333333333335</v>
      </c>
      <c r="H17" s="5">
        <v>4</v>
      </c>
    </row>
    <row r="18" spans="1:8" ht="21.75" customHeight="1" x14ac:dyDescent="0.25">
      <c r="A18" s="1">
        <v>2023</v>
      </c>
      <c r="B18" s="2" t="s">
        <v>47</v>
      </c>
      <c r="C18" s="3" t="s">
        <v>48</v>
      </c>
      <c r="D18" s="3">
        <v>2.5</v>
      </c>
      <c r="E18" s="4">
        <v>0.2</v>
      </c>
      <c r="F18" s="5">
        <v>0.04</v>
      </c>
      <c r="G18" s="7">
        <f t="shared" si="0"/>
        <v>0.19999999999999998</v>
      </c>
      <c r="H18" s="5">
        <v>2</v>
      </c>
    </row>
    <row r="19" spans="1:8" ht="21.75" customHeight="1" x14ac:dyDescent="0.25">
      <c r="A19" s="1">
        <v>2023</v>
      </c>
      <c r="B19" s="8" t="s">
        <v>49</v>
      </c>
      <c r="C19" s="8"/>
      <c r="D19" s="8"/>
      <c r="E19" s="9">
        <f>SUM(E2:E18)</f>
        <v>95.09999999999998</v>
      </c>
      <c r="F19" s="10">
        <f>SUM(F2:F18)</f>
        <v>152.17699999999999</v>
      </c>
      <c r="G19" s="11">
        <f t="shared" si="0"/>
        <v>1.6001787592008414</v>
      </c>
      <c r="H19" s="10" t="s">
        <v>50</v>
      </c>
    </row>
  </sheetData>
  <mergeCells count="1">
    <mergeCell ref="B19:D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</dc:creator>
  <cp:lastModifiedBy>Noura Ferjani</cp:lastModifiedBy>
  <dcterms:created xsi:type="dcterms:W3CDTF">2015-06-05T18:19:34Z</dcterms:created>
  <dcterms:modified xsi:type="dcterms:W3CDTF">2025-10-08T09:10:11Z</dcterms:modified>
</cp:coreProperties>
</file>