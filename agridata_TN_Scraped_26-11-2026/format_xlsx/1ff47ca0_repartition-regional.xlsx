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8800" windowHeight="12210"/>
  </bookViews>
  <sheets>
    <sheet name="PPI EUT 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14" i="2" l="1"/>
  <c r="L104" i="2"/>
  <c r="L92" i="2"/>
  <c r="K113" i="2"/>
  <c r="K112" i="2"/>
  <c r="K111" i="2"/>
  <c r="K109" i="2"/>
  <c r="K108" i="2"/>
  <c r="K107" i="2"/>
  <c r="K106" i="2"/>
  <c r="K105" i="2"/>
  <c r="K101" i="2"/>
  <c r="K100" i="2"/>
  <c r="K99" i="2"/>
  <c r="K98" i="2"/>
  <c r="K96" i="2"/>
  <c r="K95" i="2"/>
  <c r="K94" i="2"/>
  <c r="K93" i="2"/>
  <c r="K91" i="2"/>
  <c r="K89" i="2"/>
  <c r="K85" i="2"/>
  <c r="K84" i="2"/>
  <c r="K83" i="2"/>
  <c r="K82" i="2"/>
  <c r="K81" i="2"/>
  <c r="K80" i="2"/>
  <c r="K79" i="2"/>
  <c r="K77" i="2"/>
  <c r="K76" i="2"/>
  <c r="J115" i="2"/>
  <c r="J114" i="2"/>
  <c r="J104" i="2"/>
  <c r="J92" i="2"/>
  <c r="I114" i="2"/>
  <c r="I104" i="2"/>
  <c r="I92" i="2"/>
  <c r="H114" i="2"/>
  <c r="H104" i="2"/>
  <c r="H92" i="2"/>
  <c r="K114" i="2" l="1"/>
  <c r="K104" i="2"/>
  <c r="I115" i="2"/>
  <c r="K115" i="2" s="1"/>
  <c r="K92" i="2"/>
  <c r="H115" i="2"/>
  <c r="L115" i="2"/>
  <c r="L5" i="2" l="1"/>
  <c r="L35" i="2" s="1"/>
  <c r="K34" i="2"/>
  <c r="K33" i="2"/>
  <c r="K32" i="2"/>
  <c r="K30" i="2"/>
  <c r="K29" i="2"/>
  <c r="K28" i="2"/>
  <c r="K27" i="2"/>
  <c r="K26" i="2"/>
  <c r="K24" i="2"/>
  <c r="K23" i="2"/>
  <c r="K22" i="2"/>
  <c r="K19" i="2"/>
  <c r="K18" i="2"/>
  <c r="K17" i="2"/>
  <c r="K16" i="2"/>
  <c r="K12" i="2"/>
  <c r="K11" i="2"/>
  <c r="K10" i="2"/>
  <c r="K5" i="2"/>
  <c r="K3" i="2"/>
  <c r="K2" i="2"/>
  <c r="J35" i="2"/>
  <c r="I35" i="2"/>
  <c r="H35" i="2"/>
  <c r="F35" i="2"/>
  <c r="E35" i="2"/>
  <c r="K35" i="2" l="1"/>
  <c r="J75" i="2"/>
  <c r="L74" i="2"/>
  <c r="J74" i="2"/>
  <c r="I74" i="2"/>
  <c r="H74" i="2"/>
  <c r="K73" i="2"/>
  <c r="K72" i="2"/>
  <c r="K71" i="2"/>
  <c r="L70" i="2"/>
  <c r="K69" i="2"/>
  <c r="K68" i="2"/>
  <c r="K67" i="2"/>
  <c r="K66" i="2"/>
  <c r="K65" i="2"/>
  <c r="L64" i="2"/>
  <c r="J64" i="2"/>
  <c r="I64" i="2"/>
  <c r="H64" i="2"/>
  <c r="K61" i="2"/>
  <c r="K60" i="2"/>
  <c r="K59" i="2"/>
  <c r="K58" i="2"/>
  <c r="K56" i="2"/>
  <c r="K55" i="2"/>
  <c r="K54" i="2"/>
  <c r="K53" i="2"/>
  <c r="L52" i="2"/>
  <c r="J52" i="2"/>
  <c r="I52" i="2"/>
  <c r="H52" i="2"/>
  <c r="K51" i="2"/>
  <c r="K49" i="2"/>
  <c r="K45" i="2"/>
  <c r="K44" i="2"/>
  <c r="K43" i="2"/>
  <c r="K42" i="2"/>
  <c r="K41" i="2"/>
  <c r="K40" i="2"/>
  <c r="K39" i="2"/>
  <c r="K37" i="2"/>
  <c r="K36" i="2"/>
  <c r="H75" i="2" l="1"/>
  <c r="K52" i="2"/>
  <c r="I75" i="2"/>
  <c r="K75" i="2" s="1"/>
  <c r="K74" i="2"/>
  <c r="L75" i="2"/>
  <c r="K64" i="2"/>
</calcChain>
</file>

<file path=xl/sharedStrings.xml><?xml version="1.0" encoding="utf-8"?>
<sst xmlns="http://schemas.openxmlformats.org/spreadsheetml/2006/main" count="468" uniqueCount="112">
  <si>
    <t>Station d'épuration</t>
  </si>
  <si>
    <t>Périmètre irrigué</t>
  </si>
  <si>
    <t>Superficie aménagée   (ha)</t>
  </si>
  <si>
    <t xml:space="preserve">Superficie irriguée (ha) </t>
  </si>
  <si>
    <t>Taux d'intencification (%)</t>
  </si>
  <si>
    <t>Gouvernorat</t>
  </si>
  <si>
    <t>ARIANA</t>
  </si>
  <si>
    <t>BIZERTE</t>
  </si>
  <si>
    <t>NABEUL</t>
  </si>
  <si>
    <t>ZAGHOUAN</t>
  </si>
  <si>
    <t>BEJA</t>
  </si>
  <si>
    <t>KEF</t>
  </si>
  <si>
    <t>SILIANA</t>
  </si>
  <si>
    <t>SOUSSE</t>
  </si>
  <si>
    <t>MONASTIR</t>
  </si>
  <si>
    <t>KAIROUAN</t>
  </si>
  <si>
    <t>KASSERINE</t>
  </si>
  <si>
    <t>SFAX</t>
  </si>
  <si>
    <t>GAFSA</t>
  </si>
  <si>
    <t>GABES</t>
  </si>
  <si>
    <t>MEDNINE</t>
  </si>
  <si>
    <t>TATAOUINE</t>
  </si>
  <si>
    <t>Soukra</t>
  </si>
  <si>
    <t>Borj Touil</t>
  </si>
  <si>
    <t xml:space="preserve">Souhil </t>
  </si>
  <si>
    <t xml:space="preserve"> Haouariet Nabeul</t>
  </si>
  <si>
    <t xml:space="preserve">Bir romena </t>
  </si>
  <si>
    <t xml:space="preserve">Messaadi </t>
  </si>
  <si>
    <t>Kélibia</t>
  </si>
  <si>
    <t>Sidi Mrayeh</t>
  </si>
  <si>
    <t>El Khdhirat</t>
  </si>
  <si>
    <t>Semmana</t>
  </si>
  <si>
    <t>Mediouna</t>
  </si>
  <si>
    <t>Zaouiet Sousse</t>
  </si>
  <si>
    <t>Msaken</t>
  </si>
  <si>
    <t>Ouardanine</t>
  </si>
  <si>
    <t>Dhraa Tammar</t>
  </si>
  <si>
    <t>Oued essid</t>
  </si>
  <si>
    <t>Sbitla</t>
  </si>
  <si>
    <t>El hajeb</t>
  </si>
  <si>
    <t>El hancha</t>
  </si>
  <si>
    <t>Aguila</t>
  </si>
  <si>
    <t>El Hamma</t>
  </si>
  <si>
    <t>Dissa</t>
  </si>
  <si>
    <t>Ouljet El Khodr</t>
  </si>
  <si>
    <t>Maghzel</t>
  </si>
  <si>
    <t>Tataouine</t>
  </si>
  <si>
    <t>Sidi Ahmed</t>
  </si>
  <si>
    <t>Charki    
( Bni Khiar)</t>
  </si>
  <si>
    <t>Medjez Elbeb</t>
  </si>
  <si>
    <t>Bèja Sud</t>
  </si>
  <si>
    <t>Sayada,Lamta,Bouhjar</t>
  </si>
  <si>
    <t>El Bhira</t>
  </si>
  <si>
    <t>Charguia</t>
  </si>
  <si>
    <t>Chotrana I et II, Cotière Nord et Charguia</t>
  </si>
  <si>
    <t>SE3 et SE4</t>
  </si>
  <si>
    <t>SE4</t>
  </si>
  <si>
    <t>Zaghouan</t>
  </si>
  <si>
    <t>El Fahs</t>
  </si>
  <si>
    <t>Bouteffaha</t>
  </si>
  <si>
    <t>Kef</t>
  </si>
  <si>
    <t>Sousse Sud</t>
  </si>
  <si>
    <t>Sayada,Lamta,
Bouhjar</t>
  </si>
  <si>
    <t>Kairouan</t>
  </si>
  <si>
    <t>Kasserine</t>
  </si>
  <si>
    <t>Sfax Sud</t>
  </si>
  <si>
    <t>Gabes</t>
  </si>
  <si>
    <t>Djerba</t>
  </si>
  <si>
    <t>Total</t>
  </si>
  <si>
    <t>-</t>
  </si>
  <si>
    <t>NF</t>
  </si>
  <si>
    <t>El hencha</t>
  </si>
  <si>
    <t>Telbet</t>
  </si>
  <si>
    <t>Mahdia</t>
  </si>
  <si>
    <t>Dkhila</t>
  </si>
  <si>
    <t>Vitalait</t>
  </si>
  <si>
    <t>Beni Hassen</t>
  </si>
  <si>
    <t>2021/2022</t>
  </si>
  <si>
    <t>Capacité de traitement actuelle de la STEP (m3/jour)</t>
  </si>
  <si>
    <t>Capacité de traitement potentielle de la STEP (m3/jour)</t>
  </si>
  <si>
    <t>Campagne agricole</t>
  </si>
  <si>
    <t>Date de Mise en Eau</t>
  </si>
  <si>
    <t>Périmètre exploité (ha)</t>
  </si>
  <si>
    <t>S, Ahmed</t>
  </si>
  <si>
    <t>N.F</t>
  </si>
  <si>
    <t>Charki    ( Bni Khiar)</t>
  </si>
  <si>
    <t>Elfahs</t>
  </si>
  <si>
    <t>N,F</t>
  </si>
  <si>
    <t>B,sud</t>
  </si>
  <si>
    <t>M,Elbeb</t>
  </si>
  <si>
    <t>Medjez ,Elbeb</t>
  </si>
  <si>
    <t>Teboursouk</t>
  </si>
  <si>
    <t>TOTAL  du NORD</t>
  </si>
  <si>
    <t>M'SAKEN</t>
  </si>
  <si>
    <t>Ksiba</t>
  </si>
  <si>
    <t>Sayada Lamta Bouhjar</t>
  </si>
  <si>
    <t>S,L,Bouhjar</t>
  </si>
  <si>
    <t>Bni Hassen</t>
  </si>
  <si>
    <t>SBZ</t>
  </si>
  <si>
    <t>Jelma</t>
  </si>
  <si>
    <t>TOTAL  du CENTRE</t>
  </si>
  <si>
    <t>Sfax sud</t>
  </si>
  <si>
    <t>Talbet</t>
  </si>
  <si>
    <t>Jerba</t>
  </si>
  <si>
    <t>Elbhira</t>
  </si>
  <si>
    <t>TOTAL  du SUD</t>
  </si>
  <si>
    <t>TOTAL</t>
  </si>
  <si>
    <t>2022/2023</t>
  </si>
  <si>
    <t>MAHDIA</t>
  </si>
  <si>
    <t>Sidi Bouzid</t>
  </si>
  <si>
    <t>2023/2024</t>
  </si>
  <si>
    <t>Volume  des EUT distribué (m3/an)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</si>
</sst>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0"/>
      <name val="Arial"/>
      <family val="2"/>
      <charset val="178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i/>
      <sz val="14"/>
      <name val="Times New Roman"/>
      <family val="1"/>
    </font>
    <font>
      <sz val="14"/>
      <name val="Times New Roman"/>
      <family val="1"/>
    </font>
    <font>
      <i/>
      <sz val="14"/>
      <name val="Times New Roman"/>
      <family val="1"/>
    </font>
    <font>
      <sz val="14"/>
      <color rgb="FF00B05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9" fontId="4" fillId="0" borderId="0" applyFont="0" applyFill="0" applyBorder="0" applyAlignment="0" applyProtection="0"/>
  </cellStyleXfs>
  <cellXfs count="106">
    <xf numFmtId="0" fontId="0" fillId="0" borderId="0" xfId="0"/>
    <xf numFmtId="0" fontId="0" fillId="0" borderId="2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vertical="center" wrapText="1"/>
    </xf>
    <xf numFmtId="0" fontId="8" fillId="2" borderId="12" xfId="0" applyFont="1" applyFill="1" applyBorder="1" applyAlignment="1">
      <alignment vertical="center" wrapText="1"/>
    </xf>
    <xf numFmtId="0" fontId="8" fillId="2" borderId="13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 readingOrder="1"/>
    </xf>
    <xf numFmtId="9" fontId="8" fillId="2" borderId="1" xfId="4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vertical="center" wrapText="1"/>
    </xf>
    <xf numFmtId="0" fontId="8" fillId="2" borderId="10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vertical="center" wrapText="1"/>
    </xf>
    <xf numFmtId="0" fontId="8" fillId="3" borderId="15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3" fontId="8" fillId="2" borderId="2" xfId="0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9" fontId="8" fillId="2" borderId="2" xfId="0" applyNumberFormat="1" applyFont="1" applyFill="1" applyBorder="1" applyAlignment="1">
      <alignment horizontal="center" vertical="center" wrapText="1"/>
    </xf>
    <xf numFmtId="3" fontId="8" fillId="2" borderId="2" xfId="0" applyNumberFormat="1" applyFont="1" applyFill="1" applyBorder="1" applyAlignment="1">
      <alignment horizontal="center" vertical="center" wrapText="1" readingOrder="1"/>
    </xf>
    <xf numFmtId="3" fontId="8" fillId="2" borderId="6" xfId="0" applyNumberFormat="1" applyFont="1" applyFill="1" applyBorder="1" applyAlignment="1">
      <alignment horizontal="center" vertical="center" wrapText="1" readingOrder="1"/>
    </xf>
    <xf numFmtId="3" fontId="8" fillId="3" borderId="2" xfId="0" applyNumberFormat="1" applyFont="1" applyFill="1" applyBorder="1" applyAlignment="1">
      <alignment horizontal="center" vertical="center" wrapText="1"/>
    </xf>
    <xf numFmtId="3" fontId="8" fillId="2" borderId="2" xfId="0" applyNumberFormat="1" applyFont="1" applyFill="1" applyBorder="1" applyAlignment="1">
      <alignment horizontal="center" vertical="center" wrapText="1"/>
    </xf>
    <xf numFmtId="9" fontId="8" fillId="2" borderId="2" xfId="0" applyNumberFormat="1" applyFont="1" applyFill="1" applyBorder="1" applyAlignment="1">
      <alignment vertical="center" wrapText="1"/>
    </xf>
    <xf numFmtId="3" fontId="8" fillId="2" borderId="2" xfId="0" applyNumberFormat="1" applyFont="1" applyFill="1" applyBorder="1" applyAlignment="1">
      <alignment vertical="center" wrapText="1" readingOrder="1"/>
    </xf>
    <xf numFmtId="0" fontId="9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9" fontId="8" fillId="3" borderId="2" xfId="4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9" fontId="0" fillId="0" borderId="0" xfId="4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9" fontId="8" fillId="0" borderId="2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 wrapText="1" readingOrder="1"/>
    </xf>
    <xf numFmtId="0" fontId="8" fillId="2" borderId="3" xfId="0" applyFont="1" applyFill="1" applyBorder="1" applyAlignment="1">
      <alignment vertical="center" wrapText="1"/>
    </xf>
    <xf numFmtId="3" fontId="8" fillId="2" borderId="6" xfId="0" applyNumberFormat="1" applyFont="1" applyFill="1" applyBorder="1" applyAlignment="1">
      <alignment vertical="center" wrapText="1" readingOrder="1"/>
    </xf>
    <xf numFmtId="0" fontId="0" fillId="0" borderId="0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8" fillId="0" borderId="2" xfId="0" applyFont="1" applyFill="1" applyBorder="1" applyAlignment="1">
      <alignment vertical="center" wrapText="1"/>
    </xf>
    <xf numFmtId="9" fontId="8" fillId="0" borderId="2" xfId="0" applyNumberFormat="1" applyFont="1" applyFill="1" applyBorder="1" applyAlignment="1">
      <alignment vertical="center" wrapText="1"/>
    </xf>
    <xf numFmtId="3" fontId="8" fillId="0" borderId="2" xfId="0" applyNumberFormat="1" applyFont="1" applyFill="1" applyBorder="1" applyAlignment="1">
      <alignment vertical="center" wrapText="1" readingOrder="1"/>
    </xf>
    <xf numFmtId="0" fontId="8" fillId="0" borderId="6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center"/>
    </xf>
    <xf numFmtId="0" fontId="7" fillId="0" borderId="8" xfId="0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left" vertical="center"/>
    </xf>
    <xf numFmtId="9" fontId="5" fillId="0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left" vertical="center"/>
    </xf>
    <xf numFmtId="0" fontId="11" fillId="0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3" fontId="8" fillId="3" borderId="1" xfId="0" applyNumberFormat="1" applyFont="1" applyFill="1" applyBorder="1" applyAlignment="1">
      <alignment vertical="center" wrapText="1"/>
    </xf>
    <xf numFmtId="9" fontId="8" fillId="3" borderId="1" xfId="4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9" fontId="8" fillId="0" borderId="1" xfId="0" applyNumberFormat="1" applyFont="1" applyFill="1" applyBorder="1" applyAlignment="1">
      <alignment horizontal="center" vertical="center" wrapText="1"/>
    </xf>
    <xf numFmtId="3" fontId="8" fillId="0" borderId="1" xfId="0" applyNumberFormat="1" applyFont="1" applyFill="1" applyBorder="1" applyAlignment="1">
      <alignment horizontal="center" vertical="center" wrapText="1" readingOrder="1"/>
    </xf>
    <xf numFmtId="0" fontId="5" fillId="0" borderId="1" xfId="0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vertical="center" wrapText="1"/>
    </xf>
  </cellXfs>
  <cellStyles count="5">
    <cellStyle name="Excel Built-in Normal" xfId="1"/>
    <cellStyle name="Normal" xfId="0" builtinId="0"/>
    <cellStyle name="Normal 2" xfId="2"/>
    <cellStyle name="Normal 2 2" xfId="3"/>
    <cellStyle name="Pourcentage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N235"/>
  <sheetViews>
    <sheetView tabSelected="1" zoomScale="68" zoomScaleNormal="68" workbookViewId="0">
      <selection activeCell="B136" sqref="B136"/>
    </sheetView>
  </sheetViews>
  <sheetFormatPr baseColWidth="10" defaultColWidth="11.42578125" defaultRowHeight="15" x14ac:dyDescent="0.25"/>
  <cols>
    <col min="1" max="1" width="24" style="6" customWidth="1"/>
    <col min="2" max="2" width="38" style="55" customWidth="1"/>
    <col min="3" max="3" width="49" style="6" customWidth="1"/>
    <col min="4" max="4" width="43.7109375" style="6" customWidth="1"/>
    <col min="5" max="5" width="27.28515625" style="6" customWidth="1"/>
    <col min="6" max="6" width="33.140625" style="6" customWidth="1"/>
    <col min="7" max="7" width="17" style="6" customWidth="1"/>
    <col min="8" max="8" width="17.28515625" style="6" customWidth="1"/>
    <col min="9" max="9" width="17" style="6" customWidth="1"/>
    <col min="10" max="10" width="30.42578125" style="6" customWidth="1"/>
    <col min="11" max="11" width="22.28515625" style="6" customWidth="1"/>
    <col min="12" max="12" width="26.7109375" style="6" customWidth="1"/>
    <col min="13" max="154" width="11.42578125" style="3"/>
    <col min="155" max="155" width="11.42578125" style="7"/>
    <col min="156" max="2117" width="11.42578125" style="8"/>
    <col min="2118" max="2118" width="11.42578125" style="9"/>
    <col min="2119" max="2224" width="11.42578125" style="3"/>
    <col min="2225" max="16384" width="11.42578125" style="6"/>
  </cols>
  <sheetData>
    <row r="1" spans="1:2224" s="5" customFormat="1" ht="87" customHeight="1" x14ac:dyDescent="0.25">
      <c r="A1" s="14" t="s">
        <v>80</v>
      </c>
      <c r="B1" s="14" t="s">
        <v>5</v>
      </c>
      <c r="C1" s="14" t="s">
        <v>1</v>
      </c>
      <c r="D1" s="14" t="s">
        <v>0</v>
      </c>
      <c r="E1" s="14" t="s">
        <v>78</v>
      </c>
      <c r="F1" s="14" t="s">
        <v>79</v>
      </c>
      <c r="G1" s="14" t="s">
        <v>81</v>
      </c>
      <c r="H1" s="14" t="s">
        <v>2</v>
      </c>
      <c r="I1" s="14" t="s">
        <v>82</v>
      </c>
      <c r="J1" s="14" t="s">
        <v>3</v>
      </c>
      <c r="K1" s="14" t="s">
        <v>4</v>
      </c>
      <c r="L1" s="15" t="s">
        <v>111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7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9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</row>
    <row r="2" spans="1:2224" ht="37.5" customHeight="1" x14ac:dyDescent="0.25">
      <c r="A2" s="13" t="s">
        <v>77</v>
      </c>
      <c r="B2" s="82" t="s">
        <v>6</v>
      </c>
      <c r="C2" s="54" t="s">
        <v>22</v>
      </c>
      <c r="D2" s="54" t="s">
        <v>53</v>
      </c>
      <c r="E2" s="13">
        <v>40000</v>
      </c>
      <c r="F2" s="13">
        <v>43000</v>
      </c>
      <c r="G2" s="41">
        <v>1962</v>
      </c>
      <c r="H2" s="13">
        <v>409</v>
      </c>
      <c r="I2" s="13">
        <v>409</v>
      </c>
      <c r="J2" s="13">
        <v>134</v>
      </c>
      <c r="K2" s="83">
        <f>+J2/H2</f>
        <v>0.32762836185819072</v>
      </c>
      <c r="L2" s="84">
        <v>442372</v>
      </c>
    </row>
    <row r="3" spans="1:2224" ht="54.75" customHeight="1" x14ac:dyDescent="0.25">
      <c r="A3" s="13" t="s">
        <v>77</v>
      </c>
      <c r="B3" s="82" t="s">
        <v>6</v>
      </c>
      <c r="C3" s="54" t="s">
        <v>23</v>
      </c>
      <c r="D3" s="54" t="s">
        <v>54</v>
      </c>
      <c r="E3" s="85">
        <v>116000</v>
      </c>
      <c r="F3" s="85"/>
      <c r="G3" s="41">
        <v>1989</v>
      </c>
      <c r="H3" s="13">
        <v>3145</v>
      </c>
      <c r="I3" s="13">
        <v>3145</v>
      </c>
      <c r="J3" s="13">
        <v>179</v>
      </c>
      <c r="K3" s="83">
        <f>+J3/H3</f>
        <v>5.6915739268680446E-2</v>
      </c>
      <c r="L3" s="84">
        <v>751925</v>
      </c>
    </row>
    <row r="4" spans="1:2224" ht="33.75" customHeight="1" x14ac:dyDescent="0.25">
      <c r="A4" s="13" t="s">
        <v>77</v>
      </c>
      <c r="B4" s="86" t="s">
        <v>7</v>
      </c>
      <c r="C4" s="54" t="s">
        <v>47</v>
      </c>
      <c r="D4" s="54" t="s">
        <v>47</v>
      </c>
      <c r="E4" s="13"/>
      <c r="F4" s="13"/>
      <c r="G4" s="13"/>
      <c r="H4" s="13">
        <v>174</v>
      </c>
      <c r="I4" s="13" t="s">
        <v>70</v>
      </c>
      <c r="J4" s="13" t="s">
        <v>70</v>
      </c>
      <c r="K4" s="13"/>
      <c r="L4" s="13"/>
    </row>
    <row r="5" spans="1:2224" ht="33.75" customHeight="1" x14ac:dyDescent="0.25">
      <c r="A5" s="13" t="s">
        <v>77</v>
      </c>
      <c r="B5" s="82" t="s">
        <v>8</v>
      </c>
      <c r="C5" s="54" t="s">
        <v>24</v>
      </c>
      <c r="D5" s="54" t="s">
        <v>55</v>
      </c>
      <c r="E5" s="13">
        <v>4500</v>
      </c>
      <c r="F5" s="13">
        <v>7000</v>
      </c>
      <c r="G5" s="41">
        <v>1982</v>
      </c>
      <c r="H5" s="13">
        <v>280</v>
      </c>
      <c r="I5" s="13">
        <v>280</v>
      </c>
      <c r="J5" s="100">
        <v>311</v>
      </c>
      <c r="K5" s="101">
        <f>+J5/(SUM(H5:H9))</f>
        <v>0.55734767025089604</v>
      </c>
      <c r="L5" s="100">
        <f>1403950+846180</f>
        <v>2250130</v>
      </c>
    </row>
    <row r="6" spans="1:2224" ht="33.75" customHeight="1" x14ac:dyDescent="0.25">
      <c r="A6" s="13" t="s">
        <v>77</v>
      </c>
      <c r="B6" s="82" t="s">
        <v>8</v>
      </c>
      <c r="C6" s="54" t="s">
        <v>25</v>
      </c>
      <c r="D6" s="54" t="s">
        <v>55</v>
      </c>
      <c r="E6" s="13">
        <v>18000</v>
      </c>
      <c r="F6" s="13">
        <v>25000</v>
      </c>
      <c r="G6" s="41">
        <v>2003</v>
      </c>
      <c r="H6" s="13">
        <v>83</v>
      </c>
      <c r="I6" s="13">
        <v>83</v>
      </c>
      <c r="J6" s="100"/>
      <c r="K6" s="101"/>
      <c r="L6" s="100"/>
    </row>
    <row r="7" spans="1:2224" ht="33.75" customHeight="1" x14ac:dyDescent="0.25">
      <c r="A7" s="13" t="s">
        <v>77</v>
      </c>
      <c r="B7" s="82" t="s">
        <v>8</v>
      </c>
      <c r="C7" s="54" t="s">
        <v>26</v>
      </c>
      <c r="D7" s="54" t="s">
        <v>56</v>
      </c>
      <c r="E7" s="13"/>
      <c r="F7" s="13"/>
      <c r="G7" s="22">
        <v>2002</v>
      </c>
      <c r="H7" s="13">
        <v>50</v>
      </c>
      <c r="I7" s="13">
        <v>50</v>
      </c>
      <c r="J7" s="100"/>
      <c r="K7" s="101"/>
      <c r="L7" s="100"/>
    </row>
    <row r="8" spans="1:2224" ht="33.75" customHeight="1" x14ac:dyDescent="0.25">
      <c r="A8" s="13" t="s">
        <v>77</v>
      </c>
      <c r="B8" s="82" t="s">
        <v>8</v>
      </c>
      <c r="C8" s="54" t="s">
        <v>27</v>
      </c>
      <c r="D8" s="54" t="s">
        <v>56</v>
      </c>
      <c r="E8" s="13"/>
      <c r="F8" s="13"/>
      <c r="G8" s="22">
        <v>1982</v>
      </c>
      <c r="H8" s="13">
        <v>70</v>
      </c>
      <c r="I8" s="13">
        <v>70</v>
      </c>
      <c r="J8" s="100"/>
      <c r="K8" s="101"/>
      <c r="L8" s="100"/>
    </row>
    <row r="9" spans="1:2224" ht="33.75" customHeight="1" x14ac:dyDescent="0.25">
      <c r="A9" s="13" t="s">
        <v>77</v>
      </c>
      <c r="B9" s="82" t="s">
        <v>8</v>
      </c>
      <c r="C9" s="54" t="s">
        <v>48</v>
      </c>
      <c r="D9" s="54" t="s">
        <v>56</v>
      </c>
      <c r="E9" s="13"/>
      <c r="F9" s="13"/>
      <c r="G9" s="22">
        <v>2002</v>
      </c>
      <c r="H9" s="13">
        <v>75</v>
      </c>
      <c r="I9" s="13">
        <v>75</v>
      </c>
      <c r="J9" s="100"/>
      <c r="K9" s="101"/>
      <c r="L9" s="100"/>
    </row>
    <row r="10" spans="1:2224" ht="33.75" customHeight="1" x14ac:dyDescent="0.25">
      <c r="A10" s="13" t="s">
        <v>77</v>
      </c>
      <c r="B10" s="82" t="s">
        <v>8</v>
      </c>
      <c r="C10" s="54" t="s">
        <v>28</v>
      </c>
      <c r="D10" s="54" t="s">
        <v>28</v>
      </c>
      <c r="E10" s="13">
        <v>7500</v>
      </c>
      <c r="F10" s="13">
        <v>7500</v>
      </c>
      <c r="G10" s="42">
        <v>2002</v>
      </c>
      <c r="H10" s="13">
        <v>45</v>
      </c>
      <c r="I10" s="13">
        <v>45</v>
      </c>
      <c r="J10" s="13">
        <v>33</v>
      </c>
      <c r="K10" s="83">
        <f>+J10/H10</f>
        <v>0.73333333333333328</v>
      </c>
      <c r="L10" s="13">
        <v>143000</v>
      </c>
    </row>
    <row r="11" spans="1:2224" s="2" customFormat="1" ht="54.75" customHeight="1" x14ac:dyDescent="0.25">
      <c r="A11" s="13" t="s">
        <v>77</v>
      </c>
      <c r="B11" s="82" t="s">
        <v>9</v>
      </c>
      <c r="C11" s="54" t="s">
        <v>29</v>
      </c>
      <c r="D11" s="54" t="s">
        <v>57</v>
      </c>
      <c r="E11" s="13">
        <v>2500</v>
      </c>
      <c r="F11" s="13">
        <v>3000</v>
      </c>
      <c r="G11" s="41">
        <v>2014</v>
      </c>
      <c r="H11" s="13">
        <v>65</v>
      </c>
      <c r="I11" s="13">
        <v>65</v>
      </c>
      <c r="J11" s="13">
        <v>41</v>
      </c>
      <c r="K11" s="83">
        <f>+J11/H11</f>
        <v>0.63076923076923075</v>
      </c>
      <c r="L11" s="13">
        <v>37412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10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1"/>
      <c r="JP11" s="11"/>
      <c r="JQ11" s="11"/>
      <c r="JR11" s="11"/>
      <c r="JS11" s="11"/>
      <c r="JT11" s="11"/>
      <c r="JU11" s="11"/>
      <c r="JV11" s="11"/>
      <c r="JW11" s="11"/>
      <c r="JX11" s="11"/>
      <c r="JY11" s="11"/>
      <c r="JZ11" s="11"/>
      <c r="KA11" s="11"/>
      <c r="KB11" s="11"/>
      <c r="KC11" s="11"/>
      <c r="KD11" s="11"/>
      <c r="KE11" s="11"/>
      <c r="KF11" s="11"/>
      <c r="KG11" s="11"/>
      <c r="KH11" s="11"/>
      <c r="KI11" s="11"/>
      <c r="KJ11" s="11"/>
      <c r="KK11" s="11"/>
      <c r="KL11" s="11"/>
      <c r="KM11" s="11"/>
      <c r="KN11" s="11"/>
      <c r="KO11" s="11"/>
      <c r="KP11" s="11"/>
      <c r="KQ11" s="11"/>
      <c r="KR11" s="11"/>
      <c r="KS11" s="11"/>
      <c r="KT11" s="11"/>
      <c r="KU11" s="11"/>
      <c r="KV11" s="11"/>
      <c r="KW11" s="11"/>
      <c r="KX11" s="11"/>
      <c r="KY11" s="11"/>
      <c r="KZ11" s="11"/>
      <c r="LA11" s="11"/>
      <c r="LB11" s="11"/>
      <c r="LC11" s="11"/>
      <c r="LD11" s="11"/>
      <c r="LE11" s="11"/>
      <c r="LF11" s="11"/>
      <c r="LG11" s="11"/>
      <c r="LH11" s="11"/>
      <c r="LI11" s="11"/>
      <c r="LJ11" s="11"/>
      <c r="LK11" s="11"/>
      <c r="LL11" s="11"/>
      <c r="LM11" s="11"/>
      <c r="LN11" s="11"/>
      <c r="LO11" s="11"/>
      <c r="LP11" s="11"/>
      <c r="LQ11" s="11"/>
      <c r="LR11" s="11"/>
      <c r="LS11" s="11"/>
      <c r="LT11" s="11"/>
      <c r="LU11" s="11"/>
      <c r="LV11" s="11"/>
      <c r="LW11" s="11"/>
      <c r="LX11" s="11"/>
      <c r="LY11" s="11"/>
      <c r="LZ11" s="11"/>
      <c r="MA11" s="11"/>
      <c r="MB11" s="11"/>
      <c r="MC11" s="11"/>
      <c r="MD11" s="11"/>
      <c r="ME11" s="11"/>
      <c r="MF11" s="11"/>
      <c r="MG11" s="11"/>
      <c r="MH11" s="11"/>
      <c r="MI11" s="11"/>
      <c r="MJ11" s="11"/>
      <c r="MK11" s="11"/>
      <c r="ML11" s="11"/>
      <c r="MM11" s="11"/>
      <c r="MN11" s="11"/>
      <c r="MO11" s="11"/>
      <c r="MP11" s="11"/>
      <c r="MQ11" s="11"/>
      <c r="MR11" s="11"/>
      <c r="MS11" s="11"/>
      <c r="MT11" s="11"/>
      <c r="MU11" s="11"/>
      <c r="MV11" s="11"/>
      <c r="MW11" s="11"/>
      <c r="MX11" s="11"/>
      <c r="MY11" s="11"/>
      <c r="MZ11" s="11"/>
      <c r="NA11" s="11"/>
      <c r="NB11" s="11"/>
      <c r="NC11" s="11"/>
      <c r="ND11" s="11"/>
      <c r="NE11" s="11"/>
      <c r="NF11" s="11"/>
      <c r="NG11" s="11"/>
      <c r="NH11" s="11"/>
      <c r="NI11" s="11"/>
      <c r="NJ11" s="11"/>
      <c r="NK11" s="11"/>
      <c r="NL11" s="11"/>
      <c r="NM11" s="11"/>
      <c r="NN11" s="11"/>
      <c r="NO11" s="11"/>
      <c r="NP11" s="11"/>
      <c r="NQ11" s="11"/>
      <c r="NR11" s="11"/>
      <c r="NS11" s="11"/>
      <c r="NT11" s="11"/>
      <c r="NU11" s="11"/>
      <c r="NV11" s="11"/>
      <c r="NW11" s="11"/>
      <c r="NX11" s="11"/>
      <c r="NY11" s="11"/>
      <c r="NZ11" s="11"/>
      <c r="OA11" s="11"/>
      <c r="OB11" s="11"/>
      <c r="OC11" s="11"/>
      <c r="OD11" s="11"/>
      <c r="OE11" s="11"/>
      <c r="OF11" s="11"/>
      <c r="OG11" s="11"/>
      <c r="OH11" s="11"/>
      <c r="OI11" s="11"/>
      <c r="OJ11" s="11"/>
      <c r="OK11" s="11"/>
      <c r="OL11" s="11"/>
      <c r="OM11" s="11"/>
      <c r="ON11" s="11"/>
      <c r="OO11" s="11"/>
      <c r="OP11" s="11"/>
      <c r="OQ11" s="11"/>
      <c r="OR11" s="11"/>
      <c r="OS11" s="11"/>
      <c r="OT11" s="11"/>
      <c r="OU11" s="11"/>
      <c r="OV11" s="11"/>
      <c r="OW11" s="11"/>
      <c r="OX11" s="11"/>
      <c r="OY11" s="11"/>
      <c r="OZ11" s="11"/>
      <c r="PA11" s="11"/>
      <c r="PB11" s="11"/>
      <c r="PC11" s="11"/>
      <c r="PD11" s="11"/>
      <c r="PE11" s="11"/>
      <c r="PF11" s="11"/>
      <c r="PG11" s="11"/>
      <c r="PH11" s="11"/>
      <c r="PI11" s="11"/>
      <c r="PJ11" s="11"/>
      <c r="PK11" s="11"/>
      <c r="PL11" s="11"/>
      <c r="PM11" s="11"/>
      <c r="PN11" s="11"/>
      <c r="PO11" s="11"/>
      <c r="PP11" s="11"/>
      <c r="PQ11" s="11"/>
      <c r="PR11" s="11"/>
      <c r="PS11" s="11"/>
      <c r="PT11" s="11"/>
      <c r="PU11" s="11"/>
      <c r="PV11" s="11"/>
      <c r="PW11" s="11"/>
      <c r="PX11" s="11"/>
      <c r="PY11" s="11"/>
      <c r="PZ11" s="11"/>
      <c r="QA11" s="11"/>
      <c r="QB11" s="11"/>
      <c r="QC11" s="11"/>
      <c r="QD11" s="11"/>
      <c r="QE11" s="11"/>
      <c r="QF11" s="11"/>
      <c r="QG11" s="11"/>
      <c r="QH11" s="11"/>
      <c r="QI11" s="11"/>
      <c r="QJ11" s="11"/>
      <c r="QK11" s="11"/>
      <c r="QL11" s="11"/>
      <c r="QM11" s="11"/>
      <c r="QN11" s="11"/>
      <c r="QO11" s="11"/>
      <c r="QP11" s="11"/>
      <c r="QQ11" s="11"/>
      <c r="QR11" s="11"/>
      <c r="QS11" s="11"/>
      <c r="QT11" s="11"/>
      <c r="QU11" s="11"/>
      <c r="QV11" s="11"/>
      <c r="QW11" s="11"/>
      <c r="QX11" s="11"/>
      <c r="QY11" s="11"/>
      <c r="QZ11" s="11"/>
      <c r="RA11" s="11"/>
      <c r="RB11" s="11"/>
      <c r="RC11" s="11"/>
      <c r="RD11" s="11"/>
      <c r="RE11" s="11"/>
      <c r="RF11" s="11"/>
      <c r="RG11" s="11"/>
      <c r="RH11" s="11"/>
      <c r="RI11" s="11"/>
      <c r="RJ11" s="11"/>
      <c r="RK11" s="11"/>
      <c r="RL11" s="11"/>
      <c r="RM11" s="11"/>
      <c r="RN11" s="11"/>
      <c r="RO11" s="11"/>
      <c r="RP11" s="11"/>
      <c r="RQ11" s="11"/>
      <c r="RR11" s="11"/>
      <c r="RS11" s="11"/>
      <c r="RT11" s="11"/>
      <c r="RU11" s="11"/>
      <c r="RV11" s="11"/>
      <c r="RW11" s="11"/>
      <c r="RX11" s="11"/>
      <c r="RY11" s="11"/>
      <c r="RZ11" s="11"/>
      <c r="SA11" s="11"/>
      <c r="SB11" s="11"/>
      <c r="SC11" s="11"/>
      <c r="SD11" s="11"/>
      <c r="SE11" s="11"/>
      <c r="SF11" s="11"/>
      <c r="SG11" s="11"/>
      <c r="SH11" s="11"/>
      <c r="SI11" s="11"/>
      <c r="SJ11" s="11"/>
      <c r="SK11" s="11"/>
      <c r="SL11" s="11"/>
      <c r="SM11" s="11"/>
      <c r="SN11" s="11"/>
      <c r="SO11" s="11"/>
      <c r="SP11" s="11"/>
      <c r="SQ11" s="11"/>
      <c r="SR11" s="11"/>
      <c r="SS11" s="11"/>
      <c r="ST11" s="11"/>
      <c r="SU11" s="11"/>
      <c r="SV11" s="11"/>
      <c r="SW11" s="11"/>
      <c r="SX11" s="11"/>
      <c r="SY11" s="11"/>
      <c r="SZ11" s="11"/>
      <c r="TA11" s="11"/>
      <c r="TB11" s="11"/>
      <c r="TC11" s="11"/>
      <c r="TD11" s="11"/>
      <c r="TE11" s="11"/>
      <c r="TF11" s="11"/>
      <c r="TG11" s="11"/>
      <c r="TH11" s="11"/>
      <c r="TI11" s="11"/>
      <c r="TJ11" s="11"/>
      <c r="TK11" s="11"/>
      <c r="TL11" s="11"/>
      <c r="TM11" s="11"/>
      <c r="TN11" s="11"/>
      <c r="TO11" s="11"/>
      <c r="TP11" s="11"/>
      <c r="TQ11" s="11"/>
      <c r="TR11" s="11"/>
      <c r="TS11" s="11"/>
      <c r="TT11" s="11"/>
      <c r="TU11" s="11"/>
      <c r="TV11" s="11"/>
      <c r="TW11" s="11"/>
      <c r="TX11" s="11"/>
      <c r="TY11" s="11"/>
      <c r="TZ11" s="11"/>
      <c r="UA11" s="11"/>
      <c r="UB11" s="11"/>
      <c r="UC11" s="11"/>
      <c r="UD11" s="11"/>
      <c r="UE11" s="11"/>
      <c r="UF11" s="11"/>
      <c r="UG11" s="11"/>
      <c r="UH11" s="11"/>
      <c r="UI11" s="11"/>
      <c r="UJ11" s="11"/>
      <c r="UK11" s="11"/>
      <c r="UL11" s="11"/>
      <c r="UM11" s="11"/>
      <c r="UN11" s="11"/>
      <c r="UO11" s="11"/>
      <c r="UP11" s="11"/>
      <c r="UQ11" s="11"/>
      <c r="UR11" s="11"/>
      <c r="US11" s="11"/>
      <c r="UT11" s="11"/>
      <c r="UU11" s="11"/>
      <c r="UV11" s="11"/>
      <c r="UW11" s="11"/>
      <c r="UX11" s="11"/>
      <c r="UY11" s="11"/>
      <c r="UZ11" s="11"/>
      <c r="VA11" s="11"/>
      <c r="VB11" s="11"/>
      <c r="VC11" s="11"/>
      <c r="VD11" s="11"/>
      <c r="VE11" s="11"/>
      <c r="VF11" s="11"/>
      <c r="VG11" s="11"/>
      <c r="VH11" s="11"/>
      <c r="VI11" s="11"/>
      <c r="VJ11" s="11"/>
      <c r="VK11" s="11"/>
      <c r="VL11" s="11"/>
      <c r="VM11" s="11"/>
      <c r="VN11" s="11"/>
      <c r="VO11" s="11"/>
      <c r="VP11" s="11"/>
      <c r="VQ11" s="11"/>
      <c r="VR11" s="11"/>
      <c r="VS11" s="11"/>
      <c r="VT11" s="11"/>
      <c r="VU11" s="11"/>
      <c r="VV11" s="11"/>
      <c r="VW11" s="11"/>
      <c r="VX11" s="11"/>
      <c r="VY11" s="11"/>
      <c r="VZ11" s="11"/>
      <c r="WA11" s="11"/>
      <c r="WB11" s="11"/>
      <c r="WC11" s="11"/>
      <c r="WD11" s="11"/>
      <c r="WE11" s="11"/>
      <c r="WF11" s="11"/>
      <c r="WG11" s="11"/>
      <c r="WH11" s="11"/>
      <c r="WI11" s="11"/>
      <c r="WJ11" s="11"/>
      <c r="WK11" s="11"/>
      <c r="WL11" s="11"/>
      <c r="WM11" s="11"/>
      <c r="WN11" s="11"/>
      <c r="WO11" s="11"/>
      <c r="WP11" s="11"/>
      <c r="WQ11" s="11"/>
      <c r="WR11" s="11"/>
      <c r="WS11" s="11"/>
      <c r="WT11" s="11"/>
      <c r="WU11" s="11"/>
      <c r="WV11" s="11"/>
      <c r="WW11" s="11"/>
      <c r="WX11" s="11"/>
      <c r="WY11" s="11"/>
      <c r="WZ11" s="11"/>
      <c r="XA11" s="11"/>
      <c r="XB11" s="11"/>
      <c r="XC11" s="11"/>
      <c r="XD11" s="11"/>
      <c r="XE11" s="11"/>
      <c r="XF11" s="11"/>
      <c r="XG11" s="11"/>
      <c r="XH11" s="11"/>
      <c r="XI11" s="11"/>
      <c r="XJ11" s="11"/>
      <c r="XK11" s="11"/>
      <c r="XL11" s="11"/>
      <c r="XM11" s="11"/>
      <c r="XN11" s="11"/>
      <c r="XO11" s="11"/>
      <c r="XP11" s="11"/>
      <c r="XQ11" s="11"/>
      <c r="XR11" s="11"/>
      <c r="XS11" s="11"/>
      <c r="XT11" s="11"/>
      <c r="XU11" s="11"/>
      <c r="XV11" s="11"/>
      <c r="XW11" s="11"/>
      <c r="XX11" s="11"/>
      <c r="XY11" s="11"/>
      <c r="XZ11" s="11"/>
      <c r="YA11" s="11"/>
      <c r="YB11" s="11"/>
      <c r="YC11" s="11"/>
      <c r="YD11" s="11"/>
      <c r="YE11" s="11"/>
      <c r="YF11" s="11"/>
      <c r="YG11" s="11"/>
      <c r="YH11" s="11"/>
      <c r="YI11" s="11"/>
      <c r="YJ11" s="11"/>
      <c r="YK11" s="11"/>
      <c r="YL11" s="11"/>
      <c r="YM11" s="11"/>
      <c r="YN11" s="11"/>
      <c r="YO11" s="11"/>
      <c r="YP11" s="11"/>
      <c r="YQ11" s="11"/>
      <c r="YR11" s="11"/>
      <c r="YS11" s="11"/>
      <c r="YT11" s="11"/>
      <c r="YU11" s="11"/>
      <c r="YV11" s="11"/>
      <c r="YW11" s="11"/>
      <c r="YX11" s="11"/>
      <c r="YY11" s="11"/>
      <c r="YZ11" s="11"/>
      <c r="ZA11" s="11"/>
      <c r="ZB11" s="11"/>
      <c r="ZC11" s="11"/>
      <c r="ZD11" s="11"/>
      <c r="ZE11" s="11"/>
      <c r="ZF11" s="11"/>
      <c r="ZG11" s="11"/>
      <c r="ZH11" s="11"/>
      <c r="ZI11" s="11"/>
      <c r="ZJ11" s="11"/>
      <c r="ZK11" s="11"/>
      <c r="ZL11" s="11"/>
      <c r="ZM11" s="11"/>
      <c r="ZN11" s="11"/>
      <c r="ZO11" s="11"/>
      <c r="ZP11" s="11"/>
      <c r="ZQ11" s="11"/>
      <c r="ZR11" s="11"/>
      <c r="ZS11" s="11"/>
      <c r="ZT11" s="11"/>
      <c r="ZU11" s="11"/>
      <c r="ZV11" s="11"/>
      <c r="ZW11" s="11"/>
      <c r="ZX11" s="11"/>
      <c r="ZY11" s="11"/>
      <c r="ZZ11" s="11"/>
      <c r="AAA11" s="11"/>
      <c r="AAB11" s="11"/>
      <c r="AAC11" s="11"/>
      <c r="AAD11" s="11"/>
      <c r="AAE11" s="11"/>
      <c r="AAF11" s="11"/>
      <c r="AAG11" s="11"/>
      <c r="AAH11" s="11"/>
      <c r="AAI11" s="11"/>
      <c r="AAJ11" s="11"/>
      <c r="AAK11" s="11"/>
      <c r="AAL11" s="11"/>
      <c r="AAM11" s="11"/>
      <c r="AAN11" s="11"/>
      <c r="AAO11" s="11"/>
      <c r="AAP11" s="11"/>
      <c r="AAQ11" s="11"/>
      <c r="AAR11" s="11"/>
      <c r="AAS11" s="11"/>
      <c r="AAT11" s="11"/>
      <c r="AAU11" s="11"/>
      <c r="AAV11" s="11"/>
      <c r="AAW11" s="11"/>
      <c r="AAX11" s="11"/>
      <c r="AAY11" s="11"/>
      <c r="AAZ11" s="11"/>
      <c r="ABA11" s="11"/>
      <c r="ABB11" s="11"/>
      <c r="ABC11" s="11"/>
      <c r="ABD11" s="11"/>
      <c r="ABE11" s="11"/>
      <c r="ABF11" s="11"/>
      <c r="ABG11" s="11"/>
      <c r="ABH11" s="11"/>
      <c r="ABI11" s="11"/>
      <c r="ABJ11" s="11"/>
      <c r="ABK11" s="11"/>
      <c r="ABL11" s="11"/>
      <c r="ABM11" s="11"/>
      <c r="ABN11" s="11"/>
      <c r="ABO11" s="11"/>
      <c r="ABP11" s="11"/>
      <c r="ABQ11" s="11"/>
      <c r="ABR11" s="11"/>
      <c r="ABS11" s="11"/>
      <c r="ABT11" s="11"/>
      <c r="ABU11" s="11"/>
      <c r="ABV11" s="11"/>
      <c r="ABW11" s="11"/>
      <c r="ABX11" s="11"/>
      <c r="ABY11" s="11"/>
      <c r="ABZ11" s="11"/>
      <c r="ACA11" s="11"/>
      <c r="ACB11" s="11"/>
      <c r="ACC11" s="11"/>
      <c r="ACD11" s="11"/>
      <c r="ACE11" s="11"/>
      <c r="ACF11" s="11"/>
      <c r="ACG11" s="11"/>
      <c r="ACH11" s="11"/>
      <c r="ACI11" s="11"/>
      <c r="ACJ11" s="11"/>
      <c r="ACK11" s="11"/>
      <c r="ACL11" s="11"/>
      <c r="ACM11" s="11"/>
      <c r="ACN11" s="11"/>
      <c r="ACO11" s="11"/>
      <c r="ACP11" s="11"/>
      <c r="ACQ11" s="11"/>
      <c r="ACR11" s="11"/>
      <c r="ACS11" s="11"/>
      <c r="ACT11" s="11"/>
      <c r="ACU11" s="11"/>
      <c r="ACV11" s="11"/>
      <c r="ACW11" s="11"/>
      <c r="ACX11" s="11"/>
      <c r="ACY11" s="11"/>
      <c r="ACZ11" s="11"/>
      <c r="ADA11" s="11"/>
      <c r="ADB11" s="11"/>
      <c r="ADC11" s="11"/>
      <c r="ADD11" s="11"/>
      <c r="ADE11" s="11"/>
      <c r="ADF11" s="11"/>
      <c r="ADG11" s="11"/>
      <c r="ADH11" s="11"/>
      <c r="ADI11" s="11"/>
      <c r="ADJ11" s="11"/>
      <c r="ADK11" s="11"/>
      <c r="ADL11" s="11"/>
      <c r="ADM11" s="11"/>
      <c r="ADN11" s="11"/>
      <c r="ADO11" s="11"/>
      <c r="ADP11" s="11"/>
      <c r="ADQ11" s="11"/>
      <c r="ADR11" s="11"/>
      <c r="ADS11" s="11"/>
      <c r="ADT11" s="11"/>
      <c r="ADU11" s="11"/>
      <c r="ADV11" s="11"/>
      <c r="ADW11" s="11"/>
      <c r="ADX11" s="11"/>
      <c r="ADY11" s="11"/>
      <c r="ADZ11" s="11"/>
      <c r="AEA11" s="11"/>
      <c r="AEB11" s="11"/>
      <c r="AEC11" s="11"/>
      <c r="AED11" s="11"/>
      <c r="AEE11" s="11"/>
      <c r="AEF11" s="11"/>
      <c r="AEG11" s="11"/>
      <c r="AEH11" s="11"/>
      <c r="AEI11" s="11"/>
      <c r="AEJ11" s="11"/>
      <c r="AEK11" s="11"/>
      <c r="AEL11" s="11"/>
      <c r="AEM11" s="11"/>
      <c r="AEN11" s="11"/>
      <c r="AEO11" s="11"/>
      <c r="AEP11" s="11"/>
      <c r="AEQ11" s="11"/>
      <c r="AER11" s="11"/>
      <c r="AES11" s="11"/>
      <c r="AET11" s="11"/>
      <c r="AEU11" s="11"/>
      <c r="AEV11" s="11"/>
      <c r="AEW11" s="11"/>
      <c r="AEX11" s="11"/>
      <c r="AEY11" s="11"/>
      <c r="AEZ11" s="11"/>
      <c r="AFA11" s="11"/>
      <c r="AFB11" s="11"/>
      <c r="AFC11" s="11"/>
      <c r="AFD11" s="11"/>
      <c r="AFE11" s="11"/>
      <c r="AFF11" s="11"/>
      <c r="AFG11" s="11"/>
      <c r="AFH11" s="11"/>
      <c r="AFI11" s="11"/>
      <c r="AFJ11" s="11"/>
      <c r="AFK11" s="11"/>
      <c r="AFL11" s="11"/>
      <c r="AFM11" s="11"/>
      <c r="AFN11" s="11"/>
      <c r="AFO11" s="11"/>
      <c r="AFP11" s="11"/>
      <c r="AFQ11" s="11"/>
      <c r="AFR11" s="11"/>
      <c r="AFS11" s="11"/>
      <c r="AFT11" s="11"/>
      <c r="AFU11" s="11"/>
      <c r="AFV11" s="11"/>
      <c r="AFW11" s="11"/>
      <c r="AFX11" s="11"/>
      <c r="AFY11" s="11"/>
      <c r="AFZ11" s="11"/>
      <c r="AGA11" s="11"/>
      <c r="AGB11" s="11"/>
      <c r="AGC11" s="11"/>
      <c r="AGD11" s="11"/>
      <c r="AGE11" s="11"/>
      <c r="AGF11" s="11"/>
      <c r="AGG11" s="11"/>
      <c r="AGH11" s="11"/>
      <c r="AGI11" s="11"/>
      <c r="AGJ11" s="11"/>
      <c r="AGK11" s="11"/>
      <c r="AGL11" s="11"/>
      <c r="AGM11" s="11"/>
      <c r="AGN11" s="11"/>
      <c r="AGO11" s="11"/>
      <c r="AGP11" s="11"/>
      <c r="AGQ11" s="11"/>
      <c r="AGR11" s="11"/>
      <c r="AGS11" s="11"/>
      <c r="AGT11" s="11"/>
      <c r="AGU11" s="11"/>
      <c r="AGV11" s="11"/>
      <c r="AGW11" s="11"/>
      <c r="AGX11" s="11"/>
      <c r="AGY11" s="11"/>
      <c r="AGZ11" s="11"/>
      <c r="AHA11" s="11"/>
      <c r="AHB11" s="11"/>
      <c r="AHC11" s="11"/>
      <c r="AHD11" s="11"/>
      <c r="AHE11" s="11"/>
      <c r="AHF11" s="11"/>
      <c r="AHG11" s="11"/>
      <c r="AHH11" s="11"/>
      <c r="AHI11" s="11"/>
      <c r="AHJ11" s="11"/>
      <c r="AHK11" s="11"/>
      <c r="AHL11" s="11"/>
      <c r="AHM11" s="11"/>
      <c r="AHN11" s="11"/>
      <c r="AHO11" s="11"/>
      <c r="AHP11" s="11"/>
      <c r="AHQ11" s="11"/>
      <c r="AHR11" s="11"/>
      <c r="AHS11" s="11"/>
      <c r="AHT11" s="11"/>
      <c r="AHU11" s="11"/>
      <c r="AHV11" s="11"/>
      <c r="AHW11" s="11"/>
      <c r="AHX11" s="11"/>
      <c r="AHY11" s="11"/>
      <c r="AHZ11" s="11"/>
      <c r="AIA11" s="11"/>
      <c r="AIB11" s="11"/>
      <c r="AIC11" s="11"/>
      <c r="AID11" s="11"/>
      <c r="AIE11" s="11"/>
      <c r="AIF11" s="11"/>
      <c r="AIG11" s="11"/>
      <c r="AIH11" s="11"/>
      <c r="AII11" s="11"/>
      <c r="AIJ11" s="11"/>
      <c r="AIK11" s="11"/>
      <c r="AIL11" s="11"/>
      <c r="AIM11" s="11"/>
      <c r="AIN11" s="11"/>
      <c r="AIO11" s="11"/>
      <c r="AIP11" s="11"/>
      <c r="AIQ11" s="11"/>
      <c r="AIR11" s="11"/>
      <c r="AIS11" s="11"/>
      <c r="AIT11" s="11"/>
      <c r="AIU11" s="11"/>
      <c r="AIV11" s="11"/>
      <c r="AIW11" s="11"/>
      <c r="AIX11" s="11"/>
      <c r="AIY11" s="11"/>
      <c r="AIZ11" s="11"/>
      <c r="AJA11" s="11"/>
      <c r="AJB11" s="11"/>
      <c r="AJC11" s="11"/>
      <c r="AJD11" s="11"/>
      <c r="AJE11" s="11"/>
      <c r="AJF11" s="11"/>
      <c r="AJG11" s="11"/>
      <c r="AJH11" s="11"/>
      <c r="AJI11" s="11"/>
      <c r="AJJ11" s="11"/>
      <c r="AJK11" s="11"/>
      <c r="AJL11" s="11"/>
      <c r="AJM11" s="11"/>
      <c r="AJN11" s="11"/>
      <c r="AJO11" s="11"/>
      <c r="AJP11" s="11"/>
      <c r="AJQ11" s="11"/>
      <c r="AJR11" s="11"/>
      <c r="AJS11" s="11"/>
      <c r="AJT11" s="11"/>
      <c r="AJU11" s="11"/>
      <c r="AJV11" s="11"/>
      <c r="AJW11" s="11"/>
      <c r="AJX11" s="11"/>
      <c r="AJY11" s="11"/>
      <c r="AJZ11" s="11"/>
      <c r="AKA11" s="11"/>
      <c r="AKB11" s="11"/>
      <c r="AKC11" s="11"/>
      <c r="AKD11" s="11"/>
      <c r="AKE11" s="11"/>
      <c r="AKF11" s="11"/>
      <c r="AKG11" s="11"/>
      <c r="AKH11" s="11"/>
      <c r="AKI11" s="11"/>
      <c r="AKJ11" s="11"/>
      <c r="AKK11" s="11"/>
      <c r="AKL11" s="11"/>
      <c r="AKM11" s="11"/>
      <c r="AKN11" s="11"/>
      <c r="AKO11" s="11"/>
      <c r="AKP11" s="11"/>
      <c r="AKQ11" s="11"/>
      <c r="AKR11" s="11"/>
      <c r="AKS11" s="11"/>
      <c r="AKT11" s="11"/>
      <c r="AKU11" s="11"/>
      <c r="AKV11" s="11"/>
      <c r="AKW11" s="11"/>
      <c r="AKX11" s="11"/>
      <c r="AKY11" s="11"/>
      <c r="AKZ11" s="11"/>
      <c r="ALA11" s="11"/>
      <c r="ALB11" s="11"/>
      <c r="ALC11" s="11"/>
      <c r="ALD11" s="11"/>
      <c r="ALE11" s="11"/>
      <c r="ALF11" s="11"/>
      <c r="ALG11" s="11"/>
      <c r="ALH11" s="11"/>
      <c r="ALI11" s="11"/>
      <c r="ALJ11" s="11"/>
      <c r="ALK11" s="11"/>
      <c r="ALL11" s="11"/>
      <c r="ALM11" s="11"/>
      <c r="ALN11" s="11"/>
      <c r="ALO11" s="11"/>
      <c r="ALP11" s="11"/>
      <c r="ALQ11" s="11"/>
      <c r="ALR11" s="11"/>
      <c r="ALS11" s="11"/>
      <c r="ALT11" s="11"/>
      <c r="ALU11" s="11"/>
      <c r="ALV11" s="11"/>
      <c r="ALW11" s="11"/>
      <c r="ALX11" s="11"/>
      <c r="ALY11" s="11"/>
      <c r="ALZ11" s="11"/>
      <c r="AMA11" s="11"/>
      <c r="AMB11" s="11"/>
      <c r="AMC11" s="11"/>
      <c r="AMD11" s="11"/>
      <c r="AME11" s="11"/>
      <c r="AMF11" s="11"/>
      <c r="AMG11" s="11"/>
      <c r="AMH11" s="11"/>
      <c r="AMI11" s="11"/>
      <c r="AMJ11" s="11"/>
      <c r="AMK11" s="11"/>
      <c r="AML11" s="11"/>
      <c r="AMM11" s="11"/>
      <c r="AMN11" s="11"/>
      <c r="AMO11" s="11"/>
      <c r="AMP11" s="11"/>
      <c r="AMQ11" s="11"/>
      <c r="AMR11" s="11"/>
      <c r="AMS11" s="11"/>
      <c r="AMT11" s="11"/>
      <c r="AMU11" s="11"/>
      <c r="AMV11" s="11"/>
      <c r="AMW11" s="11"/>
      <c r="AMX11" s="11"/>
      <c r="AMY11" s="11"/>
      <c r="AMZ11" s="11"/>
      <c r="ANA11" s="11"/>
      <c r="ANB11" s="11"/>
      <c r="ANC11" s="11"/>
      <c r="AND11" s="11"/>
      <c r="ANE11" s="11"/>
      <c r="ANF11" s="11"/>
      <c r="ANG11" s="11"/>
      <c r="ANH11" s="11"/>
      <c r="ANI11" s="11"/>
      <c r="ANJ11" s="11"/>
      <c r="ANK11" s="11"/>
      <c r="ANL11" s="11"/>
      <c r="ANM11" s="11"/>
      <c r="ANN11" s="11"/>
      <c r="ANO11" s="11"/>
      <c r="ANP11" s="11"/>
      <c r="ANQ11" s="11"/>
      <c r="ANR11" s="11"/>
      <c r="ANS11" s="11"/>
      <c r="ANT11" s="11"/>
      <c r="ANU11" s="11"/>
      <c r="ANV11" s="11"/>
      <c r="ANW11" s="11"/>
      <c r="ANX11" s="11"/>
      <c r="ANY11" s="11"/>
      <c r="ANZ11" s="11"/>
      <c r="AOA11" s="11"/>
      <c r="AOB11" s="11"/>
      <c r="AOC11" s="11"/>
      <c r="AOD11" s="11"/>
      <c r="AOE11" s="11"/>
      <c r="AOF11" s="11"/>
      <c r="AOG11" s="11"/>
      <c r="AOH11" s="11"/>
      <c r="AOI11" s="11"/>
      <c r="AOJ11" s="11"/>
      <c r="AOK11" s="11"/>
      <c r="AOL11" s="11"/>
      <c r="AOM11" s="11"/>
      <c r="AON11" s="11"/>
      <c r="AOO11" s="11"/>
      <c r="AOP11" s="11"/>
      <c r="AOQ11" s="11"/>
      <c r="AOR11" s="11"/>
      <c r="AOS11" s="11"/>
      <c r="AOT11" s="11"/>
      <c r="AOU11" s="11"/>
      <c r="AOV11" s="11"/>
      <c r="AOW11" s="11"/>
      <c r="AOX11" s="11"/>
      <c r="AOY11" s="11"/>
      <c r="AOZ11" s="11"/>
      <c r="APA11" s="11"/>
      <c r="APB11" s="11"/>
      <c r="APC11" s="11"/>
      <c r="APD11" s="11"/>
      <c r="APE11" s="11"/>
      <c r="APF11" s="11"/>
      <c r="APG11" s="11"/>
      <c r="APH11" s="11"/>
      <c r="API11" s="11"/>
      <c r="APJ11" s="11"/>
      <c r="APK11" s="11"/>
      <c r="APL11" s="11"/>
      <c r="APM11" s="11"/>
      <c r="APN11" s="11"/>
      <c r="APO11" s="11"/>
      <c r="APP11" s="11"/>
      <c r="APQ11" s="11"/>
      <c r="APR11" s="11"/>
      <c r="APS11" s="11"/>
      <c r="APT11" s="11"/>
      <c r="APU11" s="11"/>
      <c r="APV11" s="11"/>
      <c r="APW11" s="11"/>
      <c r="APX11" s="11"/>
      <c r="APY11" s="11"/>
      <c r="APZ11" s="11"/>
      <c r="AQA11" s="11"/>
      <c r="AQB11" s="11"/>
      <c r="AQC11" s="11"/>
      <c r="AQD11" s="11"/>
      <c r="AQE11" s="11"/>
      <c r="AQF11" s="11"/>
      <c r="AQG11" s="11"/>
      <c r="AQH11" s="11"/>
      <c r="AQI11" s="11"/>
      <c r="AQJ11" s="11"/>
      <c r="AQK11" s="11"/>
      <c r="AQL11" s="11"/>
      <c r="AQM11" s="11"/>
      <c r="AQN11" s="11"/>
      <c r="AQO11" s="11"/>
      <c r="AQP11" s="11"/>
      <c r="AQQ11" s="11"/>
      <c r="AQR11" s="11"/>
      <c r="AQS11" s="11"/>
      <c r="AQT11" s="11"/>
      <c r="AQU11" s="11"/>
      <c r="AQV11" s="11"/>
      <c r="AQW11" s="11"/>
      <c r="AQX11" s="11"/>
      <c r="AQY11" s="11"/>
      <c r="AQZ11" s="11"/>
      <c r="ARA11" s="11"/>
      <c r="ARB11" s="11"/>
      <c r="ARC11" s="11"/>
      <c r="ARD11" s="11"/>
      <c r="ARE11" s="11"/>
      <c r="ARF11" s="11"/>
      <c r="ARG11" s="11"/>
      <c r="ARH11" s="11"/>
      <c r="ARI11" s="11"/>
      <c r="ARJ11" s="11"/>
      <c r="ARK11" s="11"/>
      <c r="ARL11" s="11"/>
      <c r="ARM11" s="11"/>
      <c r="ARN11" s="11"/>
      <c r="ARO11" s="11"/>
      <c r="ARP11" s="11"/>
      <c r="ARQ11" s="11"/>
      <c r="ARR11" s="11"/>
      <c r="ARS11" s="11"/>
      <c r="ART11" s="11"/>
      <c r="ARU11" s="11"/>
      <c r="ARV11" s="11"/>
      <c r="ARW11" s="11"/>
      <c r="ARX11" s="11"/>
      <c r="ARY11" s="11"/>
      <c r="ARZ11" s="11"/>
      <c r="ASA11" s="11"/>
      <c r="ASB11" s="11"/>
      <c r="ASC11" s="11"/>
      <c r="ASD11" s="11"/>
      <c r="ASE11" s="11"/>
      <c r="ASF11" s="11"/>
      <c r="ASG11" s="11"/>
      <c r="ASH11" s="11"/>
      <c r="ASI11" s="11"/>
      <c r="ASJ11" s="11"/>
      <c r="ASK11" s="11"/>
      <c r="ASL11" s="11"/>
      <c r="ASM11" s="11"/>
      <c r="ASN11" s="11"/>
      <c r="ASO11" s="11"/>
      <c r="ASP11" s="11"/>
      <c r="ASQ11" s="11"/>
      <c r="ASR11" s="11"/>
      <c r="ASS11" s="11"/>
      <c r="AST11" s="11"/>
      <c r="ASU11" s="11"/>
      <c r="ASV11" s="11"/>
      <c r="ASW11" s="11"/>
      <c r="ASX11" s="11"/>
      <c r="ASY11" s="11"/>
      <c r="ASZ11" s="11"/>
      <c r="ATA11" s="11"/>
      <c r="ATB11" s="11"/>
      <c r="ATC11" s="11"/>
      <c r="ATD11" s="11"/>
      <c r="ATE11" s="11"/>
      <c r="ATF11" s="11"/>
      <c r="ATG11" s="11"/>
      <c r="ATH11" s="11"/>
      <c r="ATI11" s="11"/>
      <c r="ATJ11" s="11"/>
      <c r="ATK11" s="11"/>
      <c r="ATL11" s="11"/>
      <c r="ATM11" s="11"/>
      <c r="ATN11" s="11"/>
      <c r="ATO11" s="11"/>
      <c r="ATP11" s="11"/>
      <c r="ATQ11" s="11"/>
      <c r="ATR11" s="11"/>
      <c r="ATS11" s="11"/>
      <c r="ATT11" s="11"/>
      <c r="ATU11" s="11"/>
      <c r="ATV11" s="11"/>
      <c r="ATW11" s="11"/>
      <c r="ATX11" s="11"/>
      <c r="ATY11" s="11"/>
      <c r="ATZ11" s="11"/>
      <c r="AUA11" s="11"/>
      <c r="AUB11" s="11"/>
      <c r="AUC11" s="11"/>
      <c r="AUD11" s="11"/>
      <c r="AUE11" s="11"/>
      <c r="AUF11" s="11"/>
      <c r="AUG11" s="11"/>
      <c r="AUH11" s="11"/>
      <c r="AUI11" s="11"/>
      <c r="AUJ11" s="11"/>
      <c r="AUK11" s="11"/>
      <c r="AUL11" s="11"/>
      <c r="AUM11" s="11"/>
      <c r="AUN11" s="11"/>
      <c r="AUO11" s="11"/>
      <c r="AUP11" s="11"/>
      <c r="AUQ11" s="11"/>
      <c r="AUR11" s="11"/>
      <c r="AUS11" s="11"/>
      <c r="AUT11" s="11"/>
      <c r="AUU11" s="11"/>
      <c r="AUV11" s="11"/>
      <c r="AUW11" s="11"/>
      <c r="AUX11" s="11"/>
      <c r="AUY11" s="11"/>
      <c r="AUZ11" s="11"/>
      <c r="AVA11" s="11"/>
      <c r="AVB11" s="11"/>
      <c r="AVC11" s="11"/>
      <c r="AVD11" s="11"/>
      <c r="AVE11" s="11"/>
      <c r="AVF11" s="11"/>
      <c r="AVG11" s="11"/>
      <c r="AVH11" s="11"/>
      <c r="AVI11" s="11"/>
      <c r="AVJ11" s="11"/>
      <c r="AVK11" s="11"/>
      <c r="AVL11" s="11"/>
      <c r="AVM11" s="11"/>
      <c r="AVN11" s="11"/>
      <c r="AVO11" s="11"/>
      <c r="AVP11" s="11"/>
      <c r="AVQ11" s="11"/>
      <c r="AVR11" s="11"/>
      <c r="AVS11" s="11"/>
      <c r="AVT11" s="11"/>
      <c r="AVU11" s="11"/>
      <c r="AVV11" s="11"/>
      <c r="AVW11" s="11"/>
      <c r="AVX11" s="11"/>
      <c r="AVY11" s="11"/>
      <c r="AVZ11" s="11"/>
      <c r="AWA11" s="11"/>
      <c r="AWB11" s="11"/>
      <c r="AWC11" s="11"/>
      <c r="AWD11" s="11"/>
      <c r="AWE11" s="11"/>
      <c r="AWF11" s="11"/>
      <c r="AWG11" s="11"/>
      <c r="AWH11" s="11"/>
      <c r="AWI11" s="11"/>
      <c r="AWJ11" s="11"/>
      <c r="AWK11" s="11"/>
      <c r="AWL11" s="11"/>
      <c r="AWM11" s="11"/>
      <c r="AWN11" s="11"/>
      <c r="AWO11" s="11"/>
      <c r="AWP11" s="11"/>
      <c r="AWQ11" s="11"/>
      <c r="AWR11" s="11"/>
      <c r="AWS11" s="11"/>
      <c r="AWT11" s="11"/>
      <c r="AWU11" s="11"/>
      <c r="AWV11" s="11"/>
      <c r="AWW11" s="11"/>
      <c r="AWX11" s="11"/>
      <c r="AWY11" s="11"/>
      <c r="AWZ11" s="11"/>
      <c r="AXA11" s="11"/>
      <c r="AXB11" s="11"/>
      <c r="AXC11" s="11"/>
      <c r="AXD11" s="11"/>
      <c r="AXE11" s="11"/>
      <c r="AXF11" s="11"/>
      <c r="AXG11" s="11"/>
      <c r="AXH11" s="11"/>
      <c r="AXI11" s="11"/>
      <c r="AXJ11" s="11"/>
      <c r="AXK11" s="11"/>
      <c r="AXL11" s="11"/>
      <c r="AXM11" s="11"/>
      <c r="AXN11" s="11"/>
      <c r="AXO11" s="11"/>
      <c r="AXP11" s="11"/>
      <c r="AXQ11" s="11"/>
      <c r="AXR11" s="11"/>
      <c r="AXS11" s="11"/>
      <c r="AXT11" s="11"/>
      <c r="AXU11" s="11"/>
      <c r="AXV11" s="11"/>
      <c r="AXW11" s="11"/>
      <c r="AXX11" s="11"/>
      <c r="AXY11" s="11"/>
      <c r="AXZ11" s="11"/>
      <c r="AYA11" s="11"/>
      <c r="AYB11" s="11"/>
      <c r="AYC11" s="11"/>
      <c r="AYD11" s="11"/>
      <c r="AYE11" s="11"/>
      <c r="AYF11" s="11"/>
      <c r="AYG11" s="11"/>
      <c r="AYH11" s="11"/>
      <c r="AYI11" s="11"/>
      <c r="AYJ11" s="11"/>
      <c r="AYK11" s="11"/>
      <c r="AYL11" s="11"/>
      <c r="AYM11" s="11"/>
      <c r="AYN11" s="11"/>
      <c r="AYO11" s="11"/>
      <c r="AYP11" s="11"/>
      <c r="AYQ11" s="11"/>
      <c r="AYR11" s="11"/>
      <c r="AYS11" s="11"/>
      <c r="AYT11" s="11"/>
      <c r="AYU11" s="11"/>
      <c r="AYV11" s="11"/>
      <c r="AYW11" s="11"/>
      <c r="AYX11" s="11"/>
      <c r="AYY11" s="11"/>
      <c r="AYZ11" s="11"/>
      <c r="AZA11" s="11"/>
      <c r="AZB11" s="11"/>
      <c r="AZC11" s="11"/>
      <c r="AZD11" s="11"/>
      <c r="AZE11" s="11"/>
      <c r="AZF11" s="11"/>
      <c r="AZG11" s="11"/>
      <c r="AZH11" s="11"/>
      <c r="AZI11" s="11"/>
      <c r="AZJ11" s="11"/>
      <c r="AZK11" s="11"/>
      <c r="AZL11" s="11"/>
      <c r="AZM11" s="11"/>
      <c r="AZN11" s="11"/>
      <c r="AZO11" s="11"/>
      <c r="AZP11" s="11"/>
      <c r="AZQ11" s="11"/>
      <c r="AZR11" s="11"/>
      <c r="AZS11" s="11"/>
      <c r="AZT11" s="11"/>
      <c r="AZU11" s="11"/>
      <c r="AZV11" s="11"/>
      <c r="AZW11" s="11"/>
      <c r="AZX11" s="11"/>
      <c r="AZY11" s="11"/>
      <c r="AZZ11" s="11"/>
      <c r="BAA11" s="11"/>
      <c r="BAB11" s="11"/>
      <c r="BAC11" s="11"/>
      <c r="BAD11" s="11"/>
      <c r="BAE11" s="11"/>
      <c r="BAF11" s="11"/>
      <c r="BAG11" s="11"/>
      <c r="BAH11" s="11"/>
      <c r="BAI11" s="11"/>
      <c r="BAJ11" s="11"/>
      <c r="BAK11" s="11"/>
      <c r="BAL11" s="11"/>
      <c r="BAM11" s="11"/>
      <c r="BAN11" s="11"/>
      <c r="BAO11" s="11"/>
      <c r="BAP11" s="11"/>
      <c r="BAQ11" s="11"/>
      <c r="BAR11" s="11"/>
      <c r="BAS11" s="11"/>
      <c r="BAT11" s="11"/>
      <c r="BAU11" s="11"/>
      <c r="BAV11" s="11"/>
      <c r="BAW11" s="11"/>
      <c r="BAX11" s="11"/>
      <c r="BAY11" s="11"/>
      <c r="BAZ11" s="11"/>
      <c r="BBA11" s="11"/>
      <c r="BBB11" s="11"/>
      <c r="BBC11" s="11"/>
      <c r="BBD11" s="11"/>
      <c r="BBE11" s="11"/>
      <c r="BBF11" s="11"/>
      <c r="BBG11" s="11"/>
      <c r="BBH11" s="11"/>
      <c r="BBI11" s="11"/>
      <c r="BBJ11" s="11"/>
      <c r="BBK11" s="11"/>
      <c r="BBL11" s="11"/>
      <c r="BBM11" s="11"/>
      <c r="BBN11" s="11"/>
      <c r="BBO11" s="11"/>
      <c r="BBP11" s="11"/>
      <c r="BBQ11" s="11"/>
      <c r="BBR11" s="11"/>
      <c r="BBS11" s="11"/>
      <c r="BBT11" s="11"/>
      <c r="BBU11" s="11"/>
      <c r="BBV11" s="11"/>
      <c r="BBW11" s="11"/>
      <c r="BBX11" s="11"/>
      <c r="BBY11" s="11"/>
      <c r="BBZ11" s="11"/>
      <c r="BCA11" s="11"/>
      <c r="BCB11" s="11"/>
      <c r="BCC11" s="11"/>
      <c r="BCD11" s="11"/>
      <c r="BCE11" s="11"/>
      <c r="BCF11" s="11"/>
      <c r="BCG11" s="11"/>
      <c r="BCH11" s="11"/>
      <c r="BCI11" s="11"/>
      <c r="BCJ11" s="11"/>
      <c r="BCK11" s="11"/>
      <c r="BCL11" s="11"/>
      <c r="BCM11" s="11"/>
      <c r="BCN11" s="11"/>
      <c r="BCO11" s="11"/>
      <c r="BCP11" s="11"/>
      <c r="BCQ11" s="11"/>
      <c r="BCR11" s="11"/>
      <c r="BCS11" s="11"/>
      <c r="BCT11" s="11"/>
      <c r="BCU11" s="11"/>
      <c r="BCV11" s="11"/>
      <c r="BCW11" s="11"/>
      <c r="BCX11" s="11"/>
      <c r="BCY11" s="11"/>
      <c r="BCZ11" s="11"/>
      <c r="BDA11" s="11"/>
      <c r="BDB11" s="11"/>
      <c r="BDC11" s="11"/>
      <c r="BDD11" s="11"/>
      <c r="BDE11" s="11"/>
      <c r="BDF11" s="11"/>
      <c r="BDG11" s="11"/>
      <c r="BDH11" s="11"/>
      <c r="BDI11" s="11"/>
      <c r="BDJ11" s="11"/>
      <c r="BDK11" s="11"/>
      <c r="BDL11" s="11"/>
      <c r="BDM11" s="11"/>
      <c r="BDN11" s="11"/>
      <c r="BDO11" s="11"/>
      <c r="BDP11" s="11"/>
      <c r="BDQ11" s="11"/>
      <c r="BDR11" s="11"/>
      <c r="BDS11" s="11"/>
      <c r="BDT11" s="11"/>
      <c r="BDU11" s="11"/>
      <c r="BDV11" s="11"/>
      <c r="BDW11" s="11"/>
      <c r="BDX11" s="11"/>
      <c r="BDY11" s="11"/>
      <c r="BDZ11" s="11"/>
      <c r="BEA11" s="11"/>
      <c r="BEB11" s="11"/>
      <c r="BEC11" s="11"/>
      <c r="BED11" s="11"/>
      <c r="BEE11" s="11"/>
      <c r="BEF11" s="11"/>
      <c r="BEG11" s="11"/>
      <c r="BEH11" s="11"/>
      <c r="BEI11" s="11"/>
      <c r="BEJ11" s="11"/>
      <c r="BEK11" s="11"/>
      <c r="BEL11" s="11"/>
      <c r="BEM11" s="11"/>
      <c r="BEN11" s="11"/>
      <c r="BEO11" s="11"/>
      <c r="BEP11" s="11"/>
      <c r="BEQ11" s="11"/>
      <c r="BER11" s="11"/>
      <c r="BES11" s="11"/>
      <c r="BET11" s="11"/>
      <c r="BEU11" s="11"/>
      <c r="BEV11" s="11"/>
      <c r="BEW11" s="11"/>
      <c r="BEX11" s="11"/>
      <c r="BEY11" s="11"/>
      <c r="BEZ11" s="11"/>
      <c r="BFA11" s="11"/>
      <c r="BFB11" s="11"/>
      <c r="BFC11" s="11"/>
      <c r="BFD11" s="11"/>
      <c r="BFE11" s="11"/>
      <c r="BFF11" s="11"/>
      <c r="BFG11" s="11"/>
      <c r="BFH11" s="11"/>
      <c r="BFI11" s="11"/>
      <c r="BFJ11" s="11"/>
      <c r="BFK11" s="11"/>
      <c r="BFL11" s="11"/>
      <c r="BFM11" s="11"/>
      <c r="BFN11" s="11"/>
      <c r="BFO11" s="11"/>
      <c r="BFP11" s="11"/>
      <c r="BFQ11" s="11"/>
      <c r="BFR11" s="11"/>
      <c r="BFS11" s="11"/>
      <c r="BFT11" s="11"/>
      <c r="BFU11" s="11"/>
      <c r="BFV11" s="11"/>
      <c r="BFW11" s="11"/>
      <c r="BFX11" s="11"/>
      <c r="BFY11" s="11"/>
      <c r="BFZ11" s="11"/>
      <c r="BGA11" s="11"/>
      <c r="BGB11" s="11"/>
      <c r="BGC11" s="11"/>
      <c r="BGD11" s="11"/>
      <c r="BGE11" s="11"/>
      <c r="BGF11" s="11"/>
      <c r="BGG11" s="11"/>
      <c r="BGH11" s="11"/>
      <c r="BGI11" s="11"/>
      <c r="BGJ11" s="11"/>
      <c r="BGK11" s="11"/>
      <c r="BGL11" s="11"/>
      <c r="BGM11" s="11"/>
      <c r="BGN11" s="11"/>
      <c r="BGO11" s="11"/>
      <c r="BGP11" s="11"/>
      <c r="BGQ11" s="11"/>
      <c r="BGR11" s="11"/>
      <c r="BGS11" s="11"/>
      <c r="BGT11" s="11"/>
      <c r="BGU11" s="11"/>
      <c r="BGV11" s="11"/>
      <c r="BGW11" s="11"/>
      <c r="BGX11" s="11"/>
      <c r="BGY11" s="11"/>
      <c r="BGZ11" s="11"/>
      <c r="BHA11" s="11"/>
      <c r="BHB11" s="11"/>
      <c r="BHC11" s="11"/>
      <c r="BHD11" s="11"/>
      <c r="BHE11" s="11"/>
      <c r="BHF11" s="11"/>
      <c r="BHG11" s="11"/>
      <c r="BHH11" s="11"/>
      <c r="BHI11" s="11"/>
      <c r="BHJ11" s="11"/>
      <c r="BHK11" s="11"/>
      <c r="BHL11" s="11"/>
      <c r="BHM11" s="11"/>
      <c r="BHN11" s="11"/>
      <c r="BHO11" s="11"/>
      <c r="BHP11" s="11"/>
      <c r="BHQ11" s="11"/>
      <c r="BHR11" s="11"/>
      <c r="BHS11" s="11"/>
      <c r="BHT11" s="11"/>
      <c r="BHU11" s="11"/>
      <c r="BHV11" s="11"/>
      <c r="BHW11" s="11"/>
      <c r="BHX11" s="11"/>
      <c r="BHY11" s="11"/>
      <c r="BHZ11" s="11"/>
      <c r="BIA11" s="11"/>
      <c r="BIB11" s="11"/>
      <c r="BIC11" s="11"/>
      <c r="BID11" s="11"/>
      <c r="BIE11" s="11"/>
      <c r="BIF11" s="11"/>
      <c r="BIG11" s="11"/>
      <c r="BIH11" s="11"/>
      <c r="BII11" s="11"/>
      <c r="BIJ11" s="11"/>
      <c r="BIK11" s="11"/>
      <c r="BIL11" s="11"/>
      <c r="BIM11" s="11"/>
      <c r="BIN11" s="11"/>
      <c r="BIO11" s="11"/>
      <c r="BIP11" s="11"/>
      <c r="BIQ11" s="11"/>
      <c r="BIR11" s="11"/>
      <c r="BIS11" s="11"/>
      <c r="BIT11" s="11"/>
      <c r="BIU11" s="11"/>
      <c r="BIV11" s="11"/>
      <c r="BIW11" s="11"/>
      <c r="BIX11" s="11"/>
      <c r="BIY11" s="11"/>
      <c r="BIZ11" s="11"/>
      <c r="BJA11" s="11"/>
      <c r="BJB11" s="11"/>
      <c r="BJC11" s="11"/>
      <c r="BJD11" s="11"/>
      <c r="BJE11" s="11"/>
      <c r="BJF11" s="11"/>
      <c r="BJG11" s="11"/>
      <c r="BJH11" s="11"/>
      <c r="BJI11" s="11"/>
      <c r="BJJ11" s="11"/>
      <c r="BJK11" s="11"/>
      <c r="BJL11" s="11"/>
      <c r="BJM11" s="11"/>
      <c r="BJN11" s="11"/>
      <c r="BJO11" s="11"/>
      <c r="BJP11" s="11"/>
      <c r="BJQ11" s="11"/>
      <c r="BJR11" s="11"/>
      <c r="BJS11" s="11"/>
      <c r="BJT11" s="11"/>
      <c r="BJU11" s="11"/>
      <c r="BJV11" s="11"/>
      <c r="BJW11" s="11"/>
      <c r="BJX11" s="11"/>
      <c r="BJY11" s="11"/>
      <c r="BJZ11" s="11"/>
      <c r="BKA11" s="11"/>
      <c r="BKB11" s="11"/>
      <c r="BKC11" s="11"/>
      <c r="BKD11" s="11"/>
      <c r="BKE11" s="11"/>
      <c r="BKF11" s="11"/>
      <c r="BKG11" s="11"/>
      <c r="BKH11" s="11"/>
      <c r="BKI11" s="11"/>
      <c r="BKJ11" s="11"/>
      <c r="BKK11" s="11"/>
      <c r="BKL11" s="11"/>
      <c r="BKM11" s="11"/>
      <c r="BKN11" s="11"/>
      <c r="BKO11" s="11"/>
      <c r="BKP11" s="11"/>
      <c r="BKQ11" s="11"/>
      <c r="BKR11" s="11"/>
      <c r="BKS11" s="11"/>
      <c r="BKT11" s="11"/>
      <c r="BKU11" s="11"/>
      <c r="BKV11" s="11"/>
      <c r="BKW11" s="11"/>
      <c r="BKX11" s="11"/>
      <c r="BKY11" s="11"/>
      <c r="BKZ11" s="11"/>
      <c r="BLA11" s="11"/>
      <c r="BLB11" s="11"/>
      <c r="BLC11" s="11"/>
      <c r="BLD11" s="11"/>
      <c r="BLE11" s="11"/>
      <c r="BLF11" s="11"/>
      <c r="BLG11" s="11"/>
      <c r="BLH11" s="11"/>
      <c r="BLI11" s="11"/>
      <c r="BLJ11" s="11"/>
      <c r="BLK11" s="11"/>
      <c r="BLL11" s="11"/>
      <c r="BLM11" s="11"/>
      <c r="BLN11" s="11"/>
      <c r="BLO11" s="11"/>
      <c r="BLP11" s="11"/>
      <c r="BLQ11" s="11"/>
      <c r="BLR11" s="11"/>
      <c r="BLS11" s="11"/>
      <c r="BLT11" s="11"/>
      <c r="BLU11" s="11"/>
      <c r="BLV11" s="11"/>
      <c r="BLW11" s="11"/>
      <c r="BLX11" s="11"/>
      <c r="BLY11" s="11"/>
      <c r="BLZ11" s="11"/>
      <c r="BMA11" s="11"/>
      <c r="BMB11" s="11"/>
      <c r="BMC11" s="11"/>
      <c r="BMD11" s="11"/>
      <c r="BME11" s="11"/>
      <c r="BMF11" s="11"/>
      <c r="BMG11" s="11"/>
      <c r="BMH11" s="11"/>
      <c r="BMI11" s="11"/>
      <c r="BMJ11" s="11"/>
      <c r="BMK11" s="11"/>
      <c r="BML11" s="11"/>
      <c r="BMM11" s="11"/>
      <c r="BMN11" s="11"/>
      <c r="BMO11" s="11"/>
      <c r="BMP11" s="11"/>
      <c r="BMQ11" s="11"/>
      <c r="BMR11" s="11"/>
      <c r="BMS11" s="11"/>
      <c r="BMT11" s="11"/>
      <c r="BMU11" s="11"/>
      <c r="BMV11" s="11"/>
      <c r="BMW11" s="11"/>
      <c r="BMX11" s="11"/>
      <c r="BMY11" s="11"/>
      <c r="BMZ11" s="11"/>
      <c r="BNA11" s="11"/>
      <c r="BNB11" s="11"/>
      <c r="BNC11" s="11"/>
      <c r="BND11" s="11"/>
      <c r="BNE11" s="11"/>
      <c r="BNF11" s="11"/>
      <c r="BNG11" s="11"/>
      <c r="BNH11" s="11"/>
      <c r="BNI11" s="11"/>
      <c r="BNJ11" s="11"/>
      <c r="BNK11" s="11"/>
      <c r="BNL11" s="11"/>
      <c r="BNM11" s="11"/>
      <c r="BNN11" s="11"/>
      <c r="BNO11" s="11"/>
      <c r="BNP11" s="11"/>
      <c r="BNQ11" s="11"/>
      <c r="BNR11" s="11"/>
      <c r="BNS11" s="11"/>
      <c r="BNT11" s="11"/>
      <c r="BNU11" s="11"/>
      <c r="BNV11" s="11"/>
      <c r="BNW11" s="11"/>
      <c r="BNX11" s="11"/>
      <c r="BNY11" s="11"/>
      <c r="BNZ11" s="11"/>
      <c r="BOA11" s="11"/>
      <c r="BOB11" s="11"/>
      <c r="BOC11" s="11"/>
      <c r="BOD11" s="11"/>
      <c r="BOE11" s="11"/>
      <c r="BOF11" s="11"/>
      <c r="BOG11" s="11"/>
      <c r="BOH11" s="11"/>
      <c r="BOI11" s="11"/>
      <c r="BOJ11" s="11"/>
      <c r="BOK11" s="11"/>
      <c r="BOL11" s="11"/>
      <c r="BOM11" s="11"/>
      <c r="BON11" s="11"/>
      <c r="BOO11" s="11"/>
      <c r="BOP11" s="11"/>
      <c r="BOQ11" s="11"/>
      <c r="BOR11" s="11"/>
      <c r="BOS11" s="11"/>
      <c r="BOT11" s="11"/>
      <c r="BOU11" s="11"/>
      <c r="BOV11" s="11"/>
      <c r="BOW11" s="11"/>
      <c r="BOX11" s="11"/>
      <c r="BOY11" s="11"/>
      <c r="BOZ11" s="11"/>
      <c r="BPA11" s="11"/>
      <c r="BPB11" s="11"/>
      <c r="BPC11" s="11"/>
      <c r="BPD11" s="11"/>
      <c r="BPE11" s="11"/>
      <c r="BPF11" s="11"/>
      <c r="BPG11" s="11"/>
      <c r="BPH11" s="11"/>
      <c r="BPI11" s="11"/>
      <c r="BPJ11" s="11"/>
      <c r="BPK11" s="11"/>
      <c r="BPL11" s="11"/>
      <c r="BPM11" s="11"/>
      <c r="BPN11" s="11"/>
      <c r="BPO11" s="11"/>
      <c r="BPP11" s="11"/>
      <c r="BPQ11" s="11"/>
      <c r="BPR11" s="11"/>
      <c r="BPS11" s="11"/>
      <c r="BPT11" s="11"/>
      <c r="BPU11" s="11"/>
      <c r="BPV11" s="11"/>
      <c r="BPW11" s="11"/>
      <c r="BPX11" s="11"/>
      <c r="BPY11" s="11"/>
      <c r="BPZ11" s="11"/>
      <c r="BQA11" s="11"/>
      <c r="BQB11" s="11"/>
      <c r="BQC11" s="11"/>
      <c r="BQD11" s="11"/>
      <c r="BQE11" s="11"/>
      <c r="BQF11" s="11"/>
      <c r="BQG11" s="11"/>
      <c r="BQH11" s="11"/>
      <c r="BQI11" s="11"/>
      <c r="BQJ11" s="11"/>
      <c r="BQK11" s="11"/>
      <c r="BQL11" s="11"/>
      <c r="BQM11" s="11"/>
      <c r="BQN11" s="11"/>
      <c r="BQO11" s="11"/>
      <c r="BQP11" s="11"/>
      <c r="BQQ11" s="11"/>
      <c r="BQR11" s="11"/>
      <c r="BQS11" s="11"/>
      <c r="BQT11" s="11"/>
      <c r="BQU11" s="11"/>
      <c r="BQV11" s="11"/>
      <c r="BQW11" s="11"/>
      <c r="BQX11" s="11"/>
      <c r="BQY11" s="11"/>
      <c r="BQZ11" s="11"/>
      <c r="BRA11" s="11"/>
      <c r="BRB11" s="11"/>
      <c r="BRC11" s="11"/>
      <c r="BRD11" s="11"/>
      <c r="BRE11" s="11"/>
      <c r="BRF11" s="11"/>
      <c r="BRG11" s="11"/>
      <c r="BRH11" s="11"/>
      <c r="BRI11" s="11"/>
      <c r="BRJ11" s="11"/>
      <c r="BRK11" s="11"/>
      <c r="BRL11" s="11"/>
      <c r="BRM11" s="11"/>
      <c r="BRN11" s="11"/>
      <c r="BRO11" s="11"/>
      <c r="BRP11" s="11"/>
      <c r="BRQ11" s="11"/>
      <c r="BRR11" s="11"/>
      <c r="BRS11" s="11"/>
      <c r="BRT11" s="11"/>
      <c r="BRU11" s="11"/>
      <c r="BRV11" s="11"/>
      <c r="BRW11" s="11"/>
      <c r="BRX11" s="11"/>
      <c r="BRY11" s="11"/>
      <c r="BRZ11" s="11"/>
      <c r="BSA11" s="11"/>
      <c r="BSB11" s="11"/>
      <c r="BSC11" s="11"/>
      <c r="BSD11" s="11"/>
      <c r="BSE11" s="11"/>
      <c r="BSF11" s="11"/>
      <c r="BSG11" s="11"/>
      <c r="BSH11" s="11"/>
      <c r="BSI11" s="11"/>
      <c r="BSJ11" s="11"/>
      <c r="BSK11" s="11"/>
      <c r="BSL11" s="11"/>
      <c r="BSM11" s="11"/>
      <c r="BSN11" s="11"/>
      <c r="BSO11" s="11"/>
      <c r="BSP11" s="11"/>
      <c r="BSQ11" s="11"/>
      <c r="BSR11" s="11"/>
      <c r="BSS11" s="11"/>
      <c r="BST11" s="11"/>
      <c r="BSU11" s="11"/>
      <c r="BSV11" s="11"/>
      <c r="BSW11" s="11"/>
      <c r="BSX11" s="11"/>
      <c r="BSY11" s="11"/>
      <c r="BSZ11" s="11"/>
      <c r="BTA11" s="11"/>
      <c r="BTB11" s="11"/>
      <c r="BTC11" s="11"/>
      <c r="BTD11" s="11"/>
      <c r="BTE11" s="11"/>
      <c r="BTF11" s="11"/>
      <c r="BTG11" s="11"/>
      <c r="BTH11" s="11"/>
      <c r="BTI11" s="11"/>
      <c r="BTJ11" s="11"/>
      <c r="BTK11" s="11"/>
      <c r="BTL11" s="11"/>
      <c r="BTM11" s="11"/>
      <c r="BTN11" s="11"/>
      <c r="BTO11" s="11"/>
      <c r="BTP11" s="11"/>
      <c r="BTQ11" s="11"/>
      <c r="BTR11" s="11"/>
      <c r="BTS11" s="11"/>
      <c r="BTT11" s="11"/>
      <c r="BTU11" s="11"/>
      <c r="BTV11" s="11"/>
      <c r="BTW11" s="11"/>
      <c r="BTX11" s="11"/>
      <c r="BTY11" s="11"/>
      <c r="BTZ11" s="11"/>
      <c r="BUA11" s="11"/>
      <c r="BUB11" s="11"/>
      <c r="BUC11" s="11"/>
      <c r="BUD11" s="11"/>
      <c r="BUE11" s="11"/>
      <c r="BUF11" s="11"/>
      <c r="BUG11" s="11"/>
      <c r="BUH11" s="11"/>
      <c r="BUI11" s="11"/>
      <c r="BUJ11" s="11"/>
      <c r="BUK11" s="11"/>
      <c r="BUL11" s="11"/>
      <c r="BUM11" s="11"/>
      <c r="BUN11" s="11"/>
      <c r="BUO11" s="11"/>
      <c r="BUP11" s="11"/>
      <c r="BUQ11" s="11"/>
      <c r="BUR11" s="11"/>
      <c r="BUS11" s="11"/>
      <c r="BUT11" s="11"/>
      <c r="BUU11" s="11"/>
      <c r="BUV11" s="11"/>
      <c r="BUW11" s="11"/>
      <c r="BUX11" s="11"/>
      <c r="BUY11" s="11"/>
      <c r="BUZ11" s="11"/>
      <c r="BVA11" s="11"/>
      <c r="BVB11" s="11"/>
      <c r="BVC11" s="11"/>
      <c r="BVD11" s="11"/>
      <c r="BVE11" s="11"/>
      <c r="BVF11" s="11"/>
      <c r="BVG11" s="11"/>
      <c r="BVH11" s="11"/>
      <c r="BVI11" s="11"/>
      <c r="BVJ11" s="11"/>
      <c r="BVK11" s="11"/>
      <c r="BVL11" s="11"/>
      <c r="BVM11" s="11"/>
      <c r="BVN11" s="11"/>
      <c r="BVO11" s="11"/>
      <c r="BVP11" s="11"/>
      <c r="BVQ11" s="11"/>
      <c r="BVR11" s="11"/>
      <c r="BVS11" s="11"/>
      <c r="BVT11" s="11"/>
      <c r="BVU11" s="11"/>
      <c r="BVV11" s="11"/>
      <c r="BVW11" s="11"/>
      <c r="BVX11" s="11"/>
      <c r="BVY11" s="11"/>
      <c r="BVZ11" s="11"/>
      <c r="BWA11" s="11"/>
      <c r="BWB11" s="11"/>
      <c r="BWC11" s="11"/>
      <c r="BWD11" s="11"/>
      <c r="BWE11" s="11"/>
      <c r="BWF11" s="11"/>
      <c r="BWG11" s="11"/>
      <c r="BWH11" s="11"/>
      <c r="BWI11" s="11"/>
      <c r="BWJ11" s="11"/>
      <c r="BWK11" s="11"/>
      <c r="BWL11" s="11"/>
      <c r="BWM11" s="11"/>
      <c r="BWN11" s="11"/>
      <c r="BWO11" s="11"/>
      <c r="BWP11" s="11"/>
      <c r="BWQ11" s="11"/>
      <c r="BWR11" s="11"/>
      <c r="BWS11" s="11"/>
      <c r="BWT11" s="11"/>
      <c r="BWU11" s="11"/>
      <c r="BWV11" s="11"/>
      <c r="BWW11" s="11"/>
      <c r="BWX11" s="11"/>
      <c r="BWY11" s="11"/>
      <c r="BWZ11" s="11"/>
      <c r="BXA11" s="11"/>
      <c r="BXB11" s="11"/>
      <c r="BXC11" s="11"/>
      <c r="BXD11" s="11"/>
      <c r="BXE11" s="11"/>
      <c r="BXF11" s="11"/>
      <c r="BXG11" s="11"/>
      <c r="BXH11" s="11"/>
      <c r="BXI11" s="11"/>
      <c r="BXJ11" s="11"/>
      <c r="BXK11" s="11"/>
      <c r="BXL11" s="11"/>
      <c r="BXM11" s="11"/>
      <c r="BXN11" s="11"/>
      <c r="BXO11" s="11"/>
      <c r="BXP11" s="11"/>
      <c r="BXQ11" s="11"/>
      <c r="BXR11" s="11"/>
      <c r="BXS11" s="11"/>
      <c r="BXT11" s="11"/>
      <c r="BXU11" s="11"/>
      <c r="BXV11" s="11"/>
      <c r="BXW11" s="11"/>
      <c r="BXX11" s="11"/>
      <c r="BXY11" s="11"/>
      <c r="BXZ11" s="11"/>
      <c r="BYA11" s="11"/>
      <c r="BYB11" s="11"/>
      <c r="BYC11" s="11"/>
      <c r="BYD11" s="11"/>
      <c r="BYE11" s="11"/>
      <c r="BYF11" s="11"/>
      <c r="BYG11" s="11"/>
      <c r="BYH11" s="11"/>
      <c r="BYI11" s="11"/>
      <c r="BYJ11" s="11"/>
      <c r="BYK11" s="11"/>
      <c r="BYL11" s="11"/>
      <c r="BYM11" s="11"/>
      <c r="BYN11" s="11"/>
      <c r="BYO11" s="11"/>
      <c r="BYP11" s="11"/>
      <c r="BYQ11" s="11"/>
      <c r="BYR11" s="11"/>
      <c r="BYS11" s="11"/>
      <c r="BYT11" s="11"/>
      <c r="BYU11" s="11"/>
      <c r="BYV11" s="11"/>
      <c r="BYW11" s="11"/>
      <c r="BYX11" s="11"/>
      <c r="BYY11" s="11"/>
      <c r="BYZ11" s="11"/>
      <c r="BZA11" s="11"/>
      <c r="BZB11" s="11"/>
      <c r="BZC11" s="11"/>
      <c r="BZD11" s="11"/>
      <c r="BZE11" s="11"/>
      <c r="BZF11" s="11"/>
      <c r="BZG11" s="11"/>
      <c r="BZH11" s="11"/>
      <c r="BZI11" s="11"/>
      <c r="BZJ11" s="11"/>
      <c r="BZK11" s="11"/>
      <c r="BZL11" s="11"/>
      <c r="BZM11" s="11"/>
      <c r="BZN11" s="11"/>
      <c r="BZO11" s="11"/>
      <c r="BZP11" s="11"/>
      <c r="BZQ11" s="11"/>
      <c r="BZR11" s="11"/>
      <c r="BZS11" s="11"/>
      <c r="BZT11" s="11"/>
      <c r="BZU11" s="11"/>
      <c r="BZV11" s="11"/>
      <c r="BZW11" s="11"/>
      <c r="BZX11" s="11"/>
      <c r="BZY11" s="11"/>
      <c r="BZZ11" s="11"/>
      <c r="CAA11" s="11"/>
      <c r="CAB11" s="11"/>
      <c r="CAC11" s="11"/>
      <c r="CAD11" s="11"/>
      <c r="CAE11" s="11"/>
      <c r="CAF11" s="11"/>
      <c r="CAG11" s="11"/>
      <c r="CAH11" s="11"/>
      <c r="CAI11" s="11"/>
      <c r="CAJ11" s="11"/>
      <c r="CAK11" s="11"/>
      <c r="CAL11" s="11"/>
      <c r="CAM11" s="11"/>
      <c r="CAN11" s="11"/>
      <c r="CAO11" s="11"/>
      <c r="CAP11" s="11"/>
      <c r="CAQ11" s="11"/>
      <c r="CAR11" s="11"/>
      <c r="CAS11" s="11"/>
      <c r="CAT11" s="11"/>
      <c r="CAU11" s="11"/>
      <c r="CAV11" s="11"/>
      <c r="CAW11" s="11"/>
      <c r="CAX11" s="11"/>
      <c r="CAY11" s="11"/>
      <c r="CAZ11" s="11"/>
      <c r="CBA11" s="11"/>
      <c r="CBB11" s="11"/>
      <c r="CBC11" s="11"/>
      <c r="CBD11" s="11"/>
      <c r="CBE11" s="11"/>
      <c r="CBF11" s="11"/>
      <c r="CBG11" s="11"/>
      <c r="CBH11" s="11"/>
      <c r="CBI11" s="11"/>
      <c r="CBJ11" s="11"/>
      <c r="CBK11" s="11"/>
      <c r="CBL11" s="11"/>
      <c r="CBM11" s="11"/>
      <c r="CBN11" s="11"/>
      <c r="CBO11" s="11"/>
      <c r="CBP11" s="11"/>
      <c r="CBQ11" s="11"/>
      <c r="CBR11" s="11"/>
      <c r="CBS11" s="11"/>
      <c r="CBT11" s="11"/>
      <c r="CBU11" s="11"/>
      <c r="CBV11" s="11"/>
      <c r="CBW11" s="11"/>
      <c r="CBX11" s="11"/>
      <c r="CBY11" s="11"/>
      <c r="CBZ11" s="11"/>
      <c r="CCA11" s="11"/>
      <c r="CCB11" s="11"/>
      <c r="CCC11" s="11"/>
      <c r="CCD11" s="11"/>
      <c r="CCE11" s="11"/>
      <c r="CCF11" s="11"/>
      <c r="CCG11" s="11"/>
      <c r="CCH11" s="11"/>
      <c r="CCI11" s="11"/>
      <c r="CCJ11" s="11"/>
      <c r="CCK11" s="11"/>
      <c r="CCL11" s="12"/>
      <c r="CCM11" s="4"/>
      <c r="CCN11" s="4"/>
      <c r="CCO11" s="4"/>
      <c r="CCP11" s="4"/>
      <c r="CCQ11" s="4"/>
      <c r="CCR11" s="4"/>
      <c r="CCS11" s="4"/>
      <c r="CCT11" s="4"/>
      <c r="CCU11" s="4"/>
      <c r="CCV11" s="4"/>
      <c r="CCW11" s="4"/>
      <c r="CCX11" s="4"/>
      <c r="CCY11" s="4"/>
      <c r="CCZ11" s="4"/>
      <c r="CDA11" s="4"/>
      <c r="CDB11" s="4"/>
      <c r="CDC11" s="4"/>
      <c r="CDD11" s="4"/>
      <c r="CDE11" s="4"/>
      <c r="CDF11" s="4"/>
      <c r="CDG11" s="4"/>
      <c r="CDH11" s="4"/>
      <c r="CDI11" s="4"/>
      <c r="CDJ11" s="4"/>
      <c r="CDK11" s="4"/>
      <c r="CDL11" s="4"/>
      <c r="CDM11" s="4"/>
      <c r="CDN11" s="4"/>
      <c r="CDO11" s="4"/>
      <c r="CDP11" s="4"/>
      <c r="CDQ11" s="4"/>
      <c r="CDR11" s="4"/>
      <c r="CDS11" s="4"/>
      <c r="CDT11" s="4"/>
      <c r="CDU11" s="4"/>
      <c r="CDV11" s="4"/>
      <c r="CDW11" s="4"/>
      <c r="CDX11" s="4"/>
      <c r="CDY11" s="4"/>
      <c r="CDZ11" s="4"/>
      <c r="CEA11" s="4"/>
      <c r="CEB11" s="4"/>
      <c r="CEC11" s="4"/>
      <c r="CED11" s="4"/>
      <c r="CEE11" s="4"/>
      <c r="CEF11" s="4"/>
      <c r="CEG11" s="4"/>
      <c r="CEH11" s="4"/>
      <c r="CEI11" s="4"/>
      <c r="CEJ11" s="4"/>
      <c r="CEK11" s="4"/>
      <c r="CEL11" s="4"/>
      <c r="CEM11" s="4"/>
      <c r="CEN11" s="4"/>
      <c r="CEO11" s="4"/>
      <c r="CEP11" s="4"/>
      <c r="CEQ11" s="4"/>
      <c r="CER11" s="4"/>
      <c r="CES11" s="4"/>
      <c r="CET11" s="4"/>
      <c r="CEU11" s="4"/>
      <c r="CEV11" s="4"/>
      <c r="CEW11" s="4"/>
      <c r="CEX11" s="4"/>
      <c r="CEY11" s="4"/>
      <c r="CEZ11" s="4"/>
      <c r="CFA11" s="4"/>
      <c r="CFB11" s="4"/>
      <c r="CFC11" s="4"/>
      <c r="CFD11" s="4"/>
      <c r="CFE11" s="4"/>
      <c r="CFF11" s="4"/>
      <c r="CFG11" s="4"/>
      <c r="CFH11" s="4"/>
      <c r="CFI11" s="4"/>
      <c r="CFJ11" s="4"/>
      <c r="CFK11" s="4"/>
      <c r="CFL11" s="4"/>
      <c r="CFM11" s="4"/>
      <c r="CFN11" s="4"/>
      <c r="CFO11" s="4"/>
      <c r="CFP11" s="4"/>
      <c r="CFQ11" s="4"/>
      <c r="CFR11" s="4"/>
      <c r="CFS11" s="4"/>
      <c r="CFT11" s="4"/>
      <c r="CFU11" s="4"/>
      <c r="CFV11" s="4"/>
      <c r="CFW11" s="4"/>
      <c r="CFX11" s="4"/>
      <c r="CFY11" s="4"/>
      <c r="CFZ11" s="4"/>
      <c r="CGA11" s="4"/>
      <c r="CGB11" s="4"/>
      <c r="CGC11" s="4"/>
      <c r="CGD11" s="4"/>
      <c r="CGE11" s="4"/>
      <c r="CGF11" s="4"/>
      <c r="CGG11" s="4"/>
      <c r="CGH11" s="4"/>
      <c r="CGI11" s="4"/>
      <c r="CGJ11" s="4"/>
      <c r="CGK11" s="4"/>
      <c r="CGL11" s="4"/>
      <c r="CGM11" s="4"/>
      <c r="CGN11" s="4"/>
    </row>
    <row r="12" spans="1:2224" ht="53.25" customHeight="1" x14ac:dyDescent="0.25">
      <c r="A12" s="13" t="s">
        <v>77</v>
      </c>
      <c r="B12" s="82" t="s">
        <v>9</v>
      </c>
      <c r="C12" s="54" t="s">
        <v>30</v>
      </c>
      <c r="D12" s="54" t="s">
        <v>58</v>
      </c>
      <c r="E12" s="13">
        <v>1500</v>
      </c>
      <c r="F12" s="13">
        <v>1700</v>
      </c>
      <c r="G12" s="13"/>
      <c r="H12" s="13">
        <v>60</v>
      </c>
      <c r="I12" s="13">
        <v>60</v>
      </c>
      <c r="J12" s="13">
        <v>38.5</v>
      </c>
      <c r="K12" s="83">
        <f>+J12/H12</f>
        <v>0.64166666666666672</v>
      </c>
      <c r="L12" s="13">
        <v>16000</v>
      </c>
    </row>
    <row r="13" spans="1:2224" ht="30.75" customHeight="1" x14ac:dyDescent="0.25">
      <c r="A13" s="13" t="s">
        <v>77</v>
      </c>
      <c r="B13" s="86" t="s">
        <v>10</v>
      </c>
      <c r="C13" s="54" t="s">
        <v>59</v>
      </c>
      <c r="D13" s="54" t="s">
        <v>50</v>
      </c>
      <c r="E13" s="13"/>
      <c r="F13" s="13"/>
      <c r="G13" s="13"/>
      <c r="H13" s="13">
        <v>354</v>
      </c>
      <c r="I13" s="13" t="s">
        <v>70</v>
      </c>
      <c r="J13" s="13" t="s">
        <v>70</v>
      </c>
      <c r="K13" s="13"/>
      <c r="L13" s="13"/>
    </row>
    <row r="14" spans="1:2224" ht="30.75" customHeight="1" x14ac:dyDescent="0.25">
      <c r="A14" s="13" t="s">
        <v>77</v>
      </c>
      <c r="B14" s="86" t="s">
        <v>10</v>
      </c>
      <c r="C14" s="54" t="s">
        <v>49</v>
      </c>
      <c r="D14" s="54" t="s">
        <v>49</v>
      </c>
      <c r="E14" s="13"/>
      <c r="F14" s="13"/>
      <c r="G14" s="13"/>
      <c r="H14" s="13">
        <v>100</v>
      </c>
      <c r="I14" s="13" t="s">
        <v>70</v>
      </c>
      <c r="J14" s="13" t="s">
        <v>70</v>
      </c>
      <c r="K14" s="13"/>
      <c r="L14" s="13"/>
    </row>
    <row r="15" spans="1:2224" ht="30.75" customHeight="1" x14ac:dyDescent="0.25">
      <c r="A15" s="13" t="s">
        <v>77</v>
      </c>
      <c r="B15" s="86" t="s">
        <v>11</v>
      </c>
      <c r="C15" s="54" t="s">
        <v>31</v>
      </c>
      <c r="D15" s="54" t="s">
        <v>60</v>
      </c>
      <c r="E15" s="13"/>
      <c r="F15" s="13"/>
      <c r="G15" s="13"/>
      <c r="H15" s="13">
        <v>180</v>
      </c>
      <c r="I15" s="13" t="s">
        <v>70</v>
      </c>
      <c r="J15" s="13" t="s">
        <v>70</v>
      </c>
      <c r="K15" s="13"/>
      <c r="L15" s="13"/>
    </row>
    <row r="16" spans="1:2224" ht="45.75" customHeight="1" x14ac:dyDescent="0.25">
      <c r="A16" s="13" t="s">
        <v>77</v>
      </c>
      <c r="B16" s="82" t="s">
        <v>12</v>
      </c>
      <c r="C16" s="54" t="s">
        <v>32</v>
      </c>
      <c r="D16" s="54" t="s">
        <v>32</v>
      </c>
      <c r="E16" s="13">
        <v>3334</v>
      </c>
      <c r="F16" s="13">
        <v>3655</v>
      </c>
      <c r="G16" s="41">
        <v>2006</v>
      </c>
      <c r="H16" s="13">
        <v>87.2</v>
      </c>
      <c r="I16" s="13">
        <v>87.2</v>
      </c>
      <c r="J16" s="13">
        <v>87.2</v>
      </c>
      <c r="K16" s="83">
        <f>+J16/H16</f>
        <v>1</v>
      </c>
      <c r="L16" s="13">
        <v>38300</v>
      </c>
    </row>
    <row r="17" spans="1:12" ht="42.75" customHeight="1" x14ac:dyDescent="0.25">
      <c r="A17" s="13" t="s">
        <v>77</v>
      </c>
      <c r="B17" s="82" t="s">
        <v>13</v>
      </c>
      <c r="C17" s="54" t="s">
        <v>33</v>
      </c>
      <c r="D17" s="54" t="s">
        <v>61</v>
      </c>
      <c r="E17" s="13">
        <v>10000</v>
      </c>
      <c r="F17" s="13">
        <v>17800</v>
      </c>
      <c r="G17" s="41">
        <v>1987</v>
      </c>
      <c r="H17" s="13">
        <v>257</v>
      </c>
      <c r="I17" s="13">
        <v>257</v>
      </c>
      <c r="J17" s="13">
        <v>257</v>
      </c>
      <c r="K17" s="83">
        <f>+J17/H17</f>
        <v>1</v>
      </c>
      <c r="L17" s="13">
        <v>658480</v>
      </c>
    </row>
    <row r="18" spans="1:12" ht="42.75" customHeight="1" x14ac:dyDescent="0.25">
      <c r="A18" s="13" t="s">
        <v>77</v>
      </c>
      <c r="B18" s="82" t="s">
        <v>13</v>
      </c>
      <c r="C18" s="54" t="s">
        <v>34</v>
      </c>
      <c r="D18" s="54" t="s">
        <v>34</v>
      </c>
      <c r="E18" s="13">
        <v>10000</v>
      </c>
      <c r="F18" s="13">
        <v>7850</v>
      </c>
      <c r="G18" s="41">
        <v>2003</v>
      </c>
      <c r="H18" s="13">
        <v>185</v>
      </c>
      <c r="I18" s="13">
        <v>185</v>
      </c>
      <c r="J18" s="13">
        <v>185</v>
      </c>
      <c r="K18" s="83">
        <f>+J18/H18</f>
        <v>1</v>
      </c>
      <c r="L18" s="13">
        <v>249900</v>
      </c>
    </row>
    <row r="19" spans="1:12" ht="42.75" customHeight="1" x14ac:dyDescent="0.25">
      <c r="A19" s="13" t="s">
        <v>77</v>
      </c>
      <c r="B19" s="82" t="s">
        <v>14</v>
      </c>
      <c r="C19" s="54" t="s">
        <v>35</v>
      </c>
      <c r="D19" s="54" t="s">
        <v>35</v>
      </c>
      <c r="E19" s="13">
        <v>1000</v>
      </c>
      <c r="F19" s="13">
        <v>1000</v>
      </c>
      <c r="G19" s="42">
        <v>1997</v>
      </c>
      <c r="H19" s="13">
        <v>50</v>
      </c>
      <c r="I19" s="13">
        <v>50</v>
      </c>
      <c r="J19" s="13">
        <v>70</v>
      </c>
      <c r="K19" s="83">
        <f>+J19/H19</f>
        <v>1.4</v>
      </c>
      <c r="L19" s="13">
        <v>280000</v>
      </c>
    </row>
    <row r="20" spans="1:12" ht="33" customHeight="1" x14ac:dyDescent="0.25">
      <c r="A20" s="13" t="s">
        <v>77</v>
      </c>
      <c r="B20" s="82" t="s">
        <v>14</v>
      </c>
      <c r="C20" s="54" t="s">
        <v>51</v>
      </c>
      <c r="D20" s="54" t="s">
        <v>62</v>
      </c>
      <c r="E20" s="13"/>
      <c r="F20" s="13"/>
      <c r="G20" s="13"/>
      <c r="H20" s="13">
        <v>50</v>
      </c>
      <c r="I20" s="13" t="s">
        <v>70</v>
      </c>
      <c r="J20" s="13" t="s">
        <v>70</v>
      </c>
      <c r="K20" s="83"/>
      <c r="L20" s="13"/>
    </row>
    <row r="21" spans="1:12" ht="33" customHeight="1" x14ac:dyDescent="0.25">
      <c r="A21" s="13" t="s">
        <v>77</v>
      </c>
      <c r="B21" s="82" t="s">
        <v>14</v>
      </c>
      <c r="C21" s="87" t="s">
        <v>76</v>
      </c>
      <c r="D21" s="54" t="s">
        <v>76</v>
      </c>
      <c r="E21" s="13"/>
      <c r="F21" s="13"/>
      <c r="G21" s="22">
        <v>2022</v>
      </c>
      <c r="H21" s="13">
        <v>14</v>
      </c>
      <c r="I21" s="13" t="s">
        <v>70</v>
      </c>
      <c r="J21" s="13" t="s">
        <v>70</v>
      </c>
      <c r="K21" s="83"/>
      <c r="L21" s="13"/>
    </row>
    <row r="22" spans="1:12" ht="33" customHeight="1" x14ac:dyDescent="0.25">
      <c r="A22" s="13" t="s">
        <v>77</v>
      </c>
      <c r="B22" s="82" t="s">
        <v>73</v>
      </c>
      <c r="C22" s="87" t="s">
        <v>74</v>
      </c>
      <c r="D22" s="54" t="s">
        <v>75</v>
      </c>
      <c r="E22" s="13"/>
      <c r="F22" s="13"/>
      <c r="G22" s="13"/>
      <c r="H22" s="13">
        <v>36</v>
      </c>
      <c r="I22" s="13">
        <v>36</v>
      </c>
      <c r="J22" s="13">
        <v>36</v>
      </c>
      <c r="K22" s="83">
        <f t="shared" ref="K22:K33" si="0">+J22/H22</f>
        <v>1</v>
      </c>
      <c r="L22" s="13">
        <v>95000</v>
      </c>
    </row>
    <row r="23" spans="1:12" ht="28.5" customHeight="1" x14ac:dyDescent="0.25">
      <c r="A23" s="13" t="s">
        <v>77</v>
      </c>
      <c r="B23" s="82" t="s">
        <v>15</v>
      </c>
      <c r="C23" s="54" t="s">
        <v>36</v>
      </c>
      <c r="D23" s="54" t="s">
        <v>63</v>
      </c>
      <c r="E23" s="13">
        <v>15000</v>
      </c>
      <c r="F23" s="13">
        <v>20000</v>
      </c>
      <c r="G23" s="42">
        <v>1983</v>
      </c>
      <c r="H23" s="13">
        <v>380</v>
      </c>
      <c r="I23" s="13">
        <v>380</v>
      </c>
      <c r="J23" s="13">
        <v>150</v>
      </c>
      <c r="K23" s="83">
        <f t="shared" si="0"/>
        <v>0.39473684210526316</v>
      </c>
      <c r="L23" s="13">
        <v>926784</v>
      </c>
    </row>
    <row r="24" spans="1:12" ht="32.25" customHeight="1" x14ac:dyDescent="0.25">
      <c r="A24" s="13" t="s">
        <v>77</v>
      </c>
      <c r="B24" s="82" t="s">
        <v>16</v>
      </c>
      <c r="C24" s="54" t="s">
        <v>37</v>
      </c>
      <c r="D24" s="54" t="s">
        <v>64</v>
      </c>
      <c r="E24" s="13">
        <v>4300</v>
      </c>
      <c r="F24" s="13">
        <v>15000</v>
      </c>
      <c r="G24" s="13">
        <v>1998</v>
      </c>
      <c r="H24" s="13">
        <v>131</v>
      </c>
      <c r="I24" s="13">
        <v>131</v>
      </c>
      <c r="J24" s="13">
        <v>131</v>
      </c>
      <c r="K24" s="83">
        <f t="shared" si="0"/>
        <v>1</v>
      </c>
      <c r="L24" s="13">
        <v>267624</v>
      </c>
    </row>
    <row r="25" spans="1:12" ht="24" customHeight="1" x14ac:dyDescent="0.25">
      <c r="A25" s="13" t="s">
        <v>77</v>
      </c>
      <c r="B25" s="82" t="s">
        <v>16</v>
      </c>
      <c r="C25" s="54" t="s">
        <v>38</v>
      </c>
      <c r="D25" s="54" t="s">
        <v>38</v>
      </c>
      <c r="E25" s="13"/>
      <c r="F25" s="13"/>
      <c r="G25" s="58">
        <v>2009</v>
      </c>
      <c r="H25" s="13">
        <v>80</v>
      </c>
      <c r="I25" s="83" t="s">
        <v>70</v>
      </c>
      <c r="J25" s="83" t="s">
        <v>70</v>
      </c>
      <c r="K25" s="13"/>
      <c r="L25" s="13"/>
    </row>
    <row r="26" spans="1:12" ht="34.5" customHeight="1" x14ac:dyDescent="0.25">
      <c r="A26" s="13" t="s">
        <v>77</v>
      </c>
      <c r="B26" s="82" t="s">
        <v>17</v>
      </c>
      <c r="C26" s="54" t="s">
        <v>39</v>
      </c>
      <c r="D26" s="54" t="s">
        <v>65</v>
      </c>
      <c r="E26" s="13">
        <v>40400</v>
      </c>
      <c r="F26" s="13">
        <v>49500</v>
      </c>
      <c r="G26" s="22">
        <v>1987</v>
      </c>
      <c r="H26" s="13">
        <v>452</v>
      </c>
      <c r="I26" s="13">
        <v>452</v>
      </c>
      <c r="J26" s="13">
        <v>180</v>
      </c>
      <c r="K26" s="83">
        <f t="shared" si="0"/>
        <v>0.39823008849557523</v>
      </c>
      <c r="L26" s="13">
        <v>1809596</v>
      </c>
    </row>
    <row r="27" spans="1:12" ht="21.75" customHeight="1" x14ac:dyDescent="0.25">
      <c r="A27" s="13" t="s">
        <v>77</v>
      </c>
      <c r="B27" s="82" t="s">
        <v>17</v>
      </c>
      <c r="C27" s="87" t="s">
        <v>40</v>
      </c>
      <c r="D27" s="54" t="s">
        <v>71</v>
      </c>
      <c r="E27" s="13">
        <v>700</v>
      </c>
      <c r="F27" s="13" t="s">
        <v>69</v>
      </c>
      <c r="G27" s="22">
        <v>2009</v>
      </c>
      <c r="H27" s="13">
        <v>60</v>
      </c>
      <c r="I27" s="13">
        <v>60</v>
      </c>
      <c r="J27" s="13">
        <v>2</v>
      </c>
      <c r="K27" s="83">
        <f t="shared" si="0"/>
        <v>3.3333333333333333E-2</v>
      </c>
      <c r="L27" s="13">
        <v>6000</v>
      </c>
    </row>
    <row r="28" spans="1:12" ht="29.25" customHeight="1" x14ac:dyDescent="0.25">
      <c r="A28" s="13" t="s">
        <v>77</v>
      </c>
      <c r="B28" s="82" t="s">
        <v>18</v>
      </c>
      <c r="C28" s="54" t="s">
        <v>41</v>
      </c>
      <c r="D28" s="54" t="s">
        <v>41</v>
      </c>
      <c r="E28" s="13">
        <v>10000</v>
      </c>
      <c r="F28" s="13">
        <v>14000</v>
      </c>
      <c r="G28" s="22">
        <v>1994</v>
      </c>
      <c r="H28" s="13">
        <v>117</v>
      </c>
      <c r="I28" s="13">
        <v>117</v>
      </c>
      <c r="J28" s="13">
        <v>137</v>
      </c>
      <c r="K28" s="83">
        <f t="shared" si="0"/>
        <v>1.170940170940171</v>
      </c>
      <c r="L28" s="13">
        <v>1518048</v>
      </c>
    </row>
    <row r="29" spans="1:12" ht="30" customHeight="1" x14ac:dyDescent="0.25">
      <c r="A29" s="13" t="s">
        <v>77</v>
      </c>
      <c r="B29" s="82" t="s">
        <v>19</v>
      </c>
      <c r="C29" s="54" t="s">
        <v>42</v>
      </c>
      <c r="D29" s="54" t="s">
        <v>42</v>
      </c>
      <c r="E29" s="13">
        <v>5000</v>
      </c>
      <c r="F29" s="13">
        <v>4060</v>
      </c>
      <c r="G29" s="22">
        <v>2006</v>
      </c>
      <c r="H29" s="13">
        <v>100</v>
      </c>
      <c r="I29" s="13">
        <v>100</v>
      </c>
      <c r="J29" s="13">
        <v>100</v>
      </c>
      <c r="K29" s="83">
        <f t="shared" si="0"/>
        <v>1</v>
      </c>
      <c r="L29" s="13">
        <v>314496</v>
      </c>
    </row>
    <row r="30" spans="1:12" ht="27.75" customHeight="1" x14ac:dyDescent="0.25">
      <c r="A30" s="13" t="s">
        <v>77</v>
      </c>
      <c r="B30" s="82" t="s">
        <v>19</v>
      </c>
      <c r="C30" s="54" t="s">
        <v>43</v>
      </c>
      <c r="D30" s="54" t="s">
        <v>66</v>
      </c>
      <c r="E30" s="13">
        <v>15000</v>
      </c>
      <c r="F30" s="13">
        <v>17270</v>
      </c>
      <c r="G30" s="22">
        <v>2009</v>
      </c>
      <c r="H30" s="13">
        <v>300</v>
      </c>
      <c r="I30" s="13">
        <v>300</v>
      </c>
      <c r="J30" s="13">
        <v>160</v>
      </c>
      <c r="K30" s="83">
        <f t="shared" si="0"/>
        <v>0.53333333333333333</v>
      </c>
      <c r="L30" s="13">
        <v>978480</v>
      </c>
    </row>
    <row r="31" spans="1:12" ht="28.5" customHeight="1" x14ac:dyDescent="0.25">
      <c r="A31" s="13" t="s">
        <v>77</v>
      </c>
      <c r="B31" s="82" t="s">
        <v>20</v>
      </c>
      <c r="C31" s="54" t="s">
        <v>44</v>
      </c>
      <c r="D31" s="54" t="s">
        <v>44</v>
      </c>
      <c r="E31" s="13"/>
      <c r="F31" s="13"/>
      <c r="G31" s="22">
        <v>2004</v>
      </c>
      <c r="H31" s="13">
        <v>30</v>
      </c>
      <c r="I31" s="13" t="s">
        <v>70</v>
      </c>
      <c r="J31" s="13" t="s">
        <v>70</v>
      </c>
      <c r="K31" s="83"/>
      <c r="L31" s="13"/>
    </row>
    <row r="32" spans="1:12" ht="26.25" customHeight="1" x14ac:dyDescent="0.25">
      <c r="A32" s="13" t="s">
        <v>77</v>
      </c>
      <c r="B32" s="82" t="s">
        <v>20</v>
      </c>
      <c r="C32" s="88" t="s">
        <v>72</v>
      </c>
      <c r="D32" s="54" t="s">
        <v>67</v>
      </c>
      <c r="E32" s="13">
        <v>12000</v>
      </c>
      <c r="F32" s="13">
        <v>15570</v>
      </c>
      <c r="G32" s="22">
        <v>2005</v>
      </c>
      <c r="H32" s="13">
        <v>53.08</v>
      </c>
      <c r="I32" s="13">
        <v>53.08</v>
      </c>
      <c r="J32" s="13">
        <v>53.08</v>
      </c>
      <c r="K32" s="83">
        <f t="shared" si="0"/>
        <v>1</v>
      </c>
      <c r="L32" s="13">
        <v>15000</v>
      </c>
    </row>
    <row r="33" spans="1:2224" ht="24.75" customHeight="1" x14ac:dyDescent="0.25">
      <c r="A33" s="13" t="s">
        <v>77</v>
      </c>
      <c r="B33" s="82" t="s">
        <v>20</v>
      </c>
      <c r="C33" s="88" t="s">
        <v>45</v>
      </c>
      <c r="D33" s="54" t="s">
        <v>67</v>
      </c>
      <c r="E33" s="13"/>
      <c r="F33" s="13"/>
      <c r="G33" s="22">
        <v>2005</v>
      </c>
      <c r="H33" s="13">
        <v>61.12</v>
      </c>
      <c r="I33" s="13">
        <v>61.12</v>
      </c>
      <c r="J33" s="13">
        <v>61.12</v>
      </c>
      <c r="K33" s="83">
        <f t="shared" si="0"/>
        <v>1</v>
      </c>
      <c r="L33" s="13"/>
    </row>
    <row r="34" spans="1:2224" ht="24.75" customHeight="1" x14ac:dyDescent="0.25">
      <c r="A34" s="13" t="s">
        <v>77</v>
      </c>
      <c r="B34" s="82" t="s">
        <v>21</v>
      </c>
      <c r="C34" s="54" t="s">
        <v>52</v>
      </c>
      <c r="D34" s="54" t="s">
        <v>46</v>
      </c>
      <c r="E34" s="13">
        <v>7950</v>
      </c>
      <c r="F34" s="13">
        <v>8500</v>
      </c>
      <c r="G34" s="22">
        <v>2017</v>
      </c>
      <c r="H34" s="13">
        <v>60</v>
      </c>
      <c r="I34" s="13">
        <v>60</v>
      </c>
      <c r="J34" s="13">
        <v>17</v>
      </c>
      <c r="K34" s="83">
        <f>+J34/H34</f>
        <v>0.28333333333333333</v>
      </c>
      <c r="L34" s="13">
        <v>38900</v>
      </c>
    </row>
    <row r="35" spans="1:2224" s="1" customFormat="1" ht="24.75" customHeight="1" x14ac:dyDescent="0.25">
      <c r="A35" s="13" t="s">
        <v>77</v>
      </c>
      <c r="B35" s="76" t="s">
        <v>68</v>
      </c>
      <c r="C35" s="76"/>
      <c r="D35" s="76"/>
      <c r="E35" s="76">
        <f t="shared" ref="E35:F35" si="1">SUM(E2:E34)</f>
        <v>324684</v>
      </c>
      <c r="F35" s="76">
        <f t="shared" si="1"/>
        <v>261405</v>
      </c>
      <c r="G35" s="76"/>
      <c r="H35" s="76">
        <f>SUM(H2:H34)</f>
        <v>7593.4</v>
      </c>
      <c r="I35" s="76">
        <f>SUM(I2:I34)</f>
        <v>6611.4</v>
      </c>
      <c r="J35" s="76">
        <f t="shared" ref="J35" si="2">SUM(J2:J34)</f>
        <v>2362.8999999999996</v>
      </c>
      <c r="K35" s="76">
        <f>+J35/H35</f>
        <v>0.31117812837464109</v>
      </c>
      <c r="L35" s="76">
        <f>SUM(L2:L34)</f>
        <v>10837447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7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  <c r="OH35" s="8"/>
      <c r="OI35" s="8"/>
      <c r="OJ35" s="8"/>
      <c r="OK35" s="8"/>
      <c r="OL35" s="8"/>
      <c r="OM35" s="8"/>
      <c r="ON35" s="8"/>
      <c r="OO35" s="8"/>
      <c r="OP35" s="8"/>
      <c r="OQ35" s="8"/>
      <c r="OR35" s="8"/>
      <c r="OS35" s="8"/>
      <c r="OT35" s="8"/>
      <c r="OU35" s="8"/>
      <c r="OV35" s="8"/>
      <c r="OW35" s="8"/>
      <c r="OX35" s="8"/>
      <c r="OY35" s="8"/>
      <c r="OZ35" s="8"/>
      <c r="PA35" s="8"/>
      <c r="PB35" s="8"/>
      <c r="PC35" s="8"/>
      <c r="PD35" s="8"/>
      <c r="PE35" s="8"/>
      <c r="PF35" s="8"/>
      <c r="PG35" s="8"/>
      <c r="PH35" s="8"/>
      <c r="PI35" s="8"/>
      <c r="PJ35" s="8"/>
      <c r="PK35" s="8"/>
      <c r="PL35" s="8"/>
      <c r="PM35" s="8"/>
      <c r="PN35" s="8"/>
      <c r="PO35" s="8"/>
      <c r="PP35" s="8"/>
      <c r="PQ35" s="8"/>
      <c r="PR35" s="8"/>
      <c r="PS35" s="8"/>
      <c r="PT35" s="8"/>
      <c r="PU35" s="8"/>
      <c r="PV35" s="8"/>
      <c r="PW35" s="8"/>
      <c r="PX35" s="8"/>
      <c r="PY35" s="8"/>
      <c r="PZ35" s="8"/>
      <c r="QA35" s="8"/>
      <c r="QB35" s="8"/>
      <c r="QC35" s="8"/>
      <c r="QD35" s="8"/>
      <c r="QE35" s="8"/>
      <c r="QF35" s="8"/>
      <c r="QG35" s="8"/>
      <c r="QH35" s="8"/>
      <c r="QI35" s="8"/>
      <c r="QJ35" s="8"/>
      <c r="QK35" s="8"/>
      <c r="QL35" s="8"/>
      <c r="QM35" s="8"/>
      <c r="QN35" s="8"/>
      <c r="QO35" s="8"/>
      <c r="QP35" s="8"/>
      <c r="QQ35" s="8"/>
      <c r="QR35" s="8"/>
      <c r="QS35" s="8"/>
      <c r="QT35" s="8"/>
      <c r="QU35" s="8"/>
      <c r="QV35" s="8"/>
      <c r="QW35" s="8"/>
      <c r="QX35" s="8"/>
      <c r="QY35" s="8"/>
      <c r="QZ35" s="8"/>
      <c r="RA35" s="8"/>
      <c r="RB35" s="8"/>
      <c r="RC35" s="8"/>
      <c r="RD35" s="8"/>
      <c r="RE35" s="8"/>
      <c r="RF35" s="8"/>
      <c r="RG35" s="8"/>
      <c r="RH35" s="8"/>
      <c r="RI35" s="8"/>
      <c r="RJ35" s="8"/>
      <c r="RK35" s="8"/>
      <c r="RL35" s="8"/>
      <c r="RM35" s="8"/>
      <c r="RN35" s="8"/>
      <c r="RO35" s="8"/>
      <c r="RP35" s="8"/>
      <c r="RQ35" s="8"/>
      <c r="RR35" s="8"/>
      <c r="RS35" s="8"/>
      <c r="RT35" s="8"/>
      <c r="RU35" s="8"/>
      <c r="RV35" s="8"/>
      <c r="RW35" s="8"/>
      <c r="RX35" s="8"/>
      <c r="RY35" s="8"/>
      <c r="RZ35" s="8"/>
      <c r="SA35" s="8"/>
      <c r="SB35" s="8"/>
      <c r="SC35" s="8"/>
      <c r="SD35" s="8"/>
      <c r="SE35" s="8"/>
      <c r="SF35" s="8"/>
      <c r="SG35" s="8"/>
      <c r="SH35" s="8"/>
      <c r="SI35" s="8"/>
      <c r="SJ35" s="8"/>
      <c r="SK35" s="8"/>
      <c r="SL35" s="8"/>
      <c r="SM35" s="8"/>
      <c r="SN35" s="8"/>
      <c r="SO35" s="8"/>
      <c r="SP35" s="8"/>
      <c r="SQ35" s="8"/>
      <c r="SR35" s="8"/>
      <c r="SS35" s="8"/>
      <c r="ST35" s="8"/>
      <c r="SU35" s="8"/>
      <c r="SV35" s="8"/>
      <c r="SW35" s="8"/>
      <c r="SX35" s="8"/>
      <c r="SY35" s="8"/>
      <c r="SZ35" s="8"/>
      <c r="TA35" s="8"/>
      <c r="TB35" s="8"/>
      <c r="TC35" s="8"/>
      <c r="TD35" s="8"/>
      <c r="TE35" s="8"/>
      <c r="TF35" s="8"/>
      <c r="TG35" s="8"/>
      <c r="TH35" s="8"/>
      <c r="TI35" s="8"/>
      <c r="TJ35" s="8"/>
      <c r="TK35" s="8"/>
      <c r="TL35" s="8"/>
      <c r="TM35" s="8"/>
      <c r="TN35" s="8"/>
      <c r="TO35" s="8"/>
      <c r="TP35" s="8"/>
      <c r="TQ35" s="8"/>
      <c r="TR35" s="8"/>
      <c r="TS35" s="8"/>
      <c r="TT35" s="8"/>
      <c r="TU35" s="8"/>
      <c r="TV35" s="8"/>
      <c r="TW35" s="8"/>
      <c r="TX35" s="8"/>
      <c r="TY35" s="8"/>
      <c r="TZ35" s="8"/>
      <c r="UA35" s="8"/>
      <c r="UB35" s="8"/>
      <c r="UC35" s="8"/>
      <c r="UD35" s="8"/>
      <c r="UE35" s="8"/>
      <c r="UF35" s="8"/>
      <c r="UG35" s="8"/>
      <c r="UH35" s="8"/>
      <c r="UI35" s="8"/>
      <c r="UJ35" s="8"/>
      <c r="UK35" s="8"/>
      <c r="UL35" s="8"/>
      <c r="UM35" s="8"/>
      <c r="UN35" s="8"/>
      <c r="UO35" s="8"/>
      <c r="UP35" s="8"/>
      <c r="UQ35" s="8"/>
      <c r="UR35" s="8"/>
      <c r="US35" s="8"/>
      <c r="UT35" s="8"/>
      <c r="UU35" s="8"/>
      <c r="UV35" s="8"/>
      <c r="UW35" s="8"/>
      <c r="UX35" s="8"/>
      <c r="UY35" s="8"/>
      <c r="UZ35" s="8"/>
      <c r="VA35" s="8"/>
      <c r="VB35" s="8"/>
      <c r="VC35" s="8"/>
      <c r="VD35" s="8"/>
      <c r="VE35" s="8"/>
      <c r="VF35" s="8"/>
      <c r="VG35" s="8"/>
      <c r="VH35" s="8"/>
      <c r="VI35" s="8"/>
      <c r="VJ35" s="8"/>
      <c r="VK35" s="8"/>
      <c r="VL35" s="8"/>
      <c r="VM35" s="8"/>
      <c r="VN35" s="8"/>
      <c r="VO35" s="8"/>
      <c r="VP35" s="8"/>
      <c r="VQ35" s="8"/>
      <c r="VR35" s="8"/>
      <c r="VS35" s="8"/>
      <c r="VT35" s="8"/>
      <c r="VU35" s="8"/>
      <c r="VV35" s="8"/>
      <c r="VW35" s="8"/>
      <c r="VX35" s="8"/>
      <c r="VY35" s="8"/>
      <c r="VZ35" s="8"/>
      <c r="WA35" s="8"/>
      <c r="WB35" s="8"/>
      <c r="WC35" s="8"/>
      <c r="WD35" s="8"/>
      <c r="WE35" s="8"/>
      <c r="WF35" s="8"/>
      <c r="WG35" s="8"/>
      <c r="WH35" s="8"/>
      <c r="WI35" s="8"/>
      <c r="WJ35" s="8"/>
      <c r="WK35" s="8"/>
      <c r="WL35" s="8"/>
      <c r="WM35" s="8"/>
      <c r="WN35" s="8"/>
      <c r="WO35" s="8"/>
      <c r="WP35" s="8"/>
      <c r="WQ35" s="8"/>
      <c r="WR35" s="8"/>
      <c r="WS35" s="8"/>
      <c r="WT35" s="8"/>
      <c r="WU35" s="8"/>
      <c r="WV35" s="8"/>
      <c r="WW35" s="8"/>
      <c r="WX35" s="8"/>
      <c r="WY35" s="8"/>
      <c r="WZ35" s="8"/>
      <c r="XA35" s="8"/>
      <c r="XB35" s="8"/>
      <c r="XC35" s="8"/>
      <c r="XD35" s="8"/>
      <c r="XE35" s="8"/>
      <c r="XF35" s="8"/>
      <c r="XG35" s="8"/>
      <c r="XH35" s="8"/>
      <c r="XI35" s="8"/>
      <c r="XJ35" s="8"/>
      <c r="XK35" s="8"/>
      <c r="XL35" s="8"/>
      <c r="XM35" s="8"/>
      <c r="XN35" s="8"/>
      <c r="XO35" s="8"/>
      <c r="XP35" s="8"/>
      <c r="XQ35" s="8"/>
      <c r="XR35" s="8"/>
      <c r="XS35" s="8"/>
      <c r="XT35" s="8"/>
      <c r="XU35" s="8"/>
      <c r="XV35" s="8"/>
      <c r="XW35" s="8"/>
      <c r="XX35" s="8"/>
      <c r="XY35" s="8"/>
      <c r="XZ35" s="8"/>
      <c r="YA35" s="8"/>
      <c r="YB35" s="8"/>
      <c r="YC35" s="8"/>
      <c r="YD35" s="8"/>
      <c r="YE35" s="8"/>
      <c r="YF35" s="8"/>
      <c r="YG35" s="8"/>
      <c r="YH35" s="8"/>
      <c r="YI35" s="8"/>
      <c r="YJ35" s="8"/>
      <c r="YK35" s="8"/>
      <c r="YL35" s="8"/>
      <c r="YM35" s="8"/>
      <c r="YN35" s="8"/>
      <c r="YO35" s="8"/>
      <c r="YP35" s="8"/>
      <c r="YQ35" s="8"/>
      <c r="YR35" s="8"/>
      <c r="YS35" s="8"/>
      <c r="YT35" s="8"/>
      <c r="YU35" s="8"/>
      <c r="YV35" s="8"/>
      <c r="YW35" s="8"/>
      <c r="YX35" s="8"/>
      <c r="YY35" s="8"/>
      <c r="YZ35" s="8"/>
      <c r="ZA35" s="8"/>
      <c r="ZB35" s="8"/>
      <c r="ZC35" s="8"/>
      <c r="ZD35" s="8"/>
      <c r="ZE35" s="8"/>
      <c r="ZF35" s="8"/>
      <c r="ZG35" s="8"/>
      <c r="ZH35" s="8"/>
      <c r="ZI35" s="8"/>
      <c r="ZJ35" s="8"/>
      <c r="ZK35" s="8"/>
      <c r="ZL35" s="8"/>
      <c r="ZM35" s="8"/>
      <c r="ZN35" s="8"/>
      <c r="ZO35" s="8"/>
      <c r="ZP35" s="8"/>
      <c r="ZQ35" s="8"/>
      <c r="ZR35" s="8"/>
      <c r="ZS35" s="8"/>
      <c r="ZT35" s="8"/>
      <c r="ZU35" s="8"/>
      <c r="ZV35" s="8"/>
      <c r="ZW35" s="8"/>
      <c r="ZX35" s="8"/>
      <c r="ZY35" s="8"/>
      <c r="ZZ35" s="8"/>
      <c r="AAA35" s="8"/>
      <c r="AAB35" s="8"/>
      <c r="AAC35" s="8"/>
      <c r="AAD35" s="8"/>
      <c r="AAE35" s="8"/>
      <c r="AAF35" s="8"/>
      <c r="AAG35" s="8"/>
      <c r="AAH35" s="8"/>
      <c r="AAI35" s="8"/>
      <c r="AAJ35" s="8"/>
      <c r="AAK35" s="8"/>
      <c r="AAL35" s="8"/>
      <c r="AAM35" s="8"/>
      <c r="AAN35" s="8"/>
      <c r="AAO35" s="8"/>
      <c r="AAP35" s="8"/>
      <c r="AAQ35" s="8"/>
      <c r="AAR35" s="8"/>
      <c r="AAS35" s="8"/>
      <c r="AAT35" s="8"/>
      <c r="AAU35" s="8"/>
      <c r="AAV35" s="8"/>
      <c r="AAW35" s="8"/>
      <c r="AAX35" s="8"/>
      <c r="AAY35" s="8"/>
      <c r="AAZ35" s="8"/>
      <c r="ABA35" s="8"/>
      <c r="ABB35" s="8"/>
      <c r="ABC35" s="8"/>
      <c r="ABD35" s="8"/>
      <c r="ABE35" s="8"/>
      <c r="ABF35" s="8"/>
      <c r="ABG35" s="8"/>
      <c r="ABH35" s="8"/>
      <c r="ABI35" s="8"/>
      <c r="ABJ35" s="8"/>
      <c r="ABK35" s="8"/>
      <c r="ABL35" s="8"/>
      <c r="ABM35" s="8"/>
      <c r="ABN35" s="8"/>
      <c r="ABO35" s="8"/>
      <c r="ABP35" s="8"/>
      <c r="ABQ35" s="8"/>
      <c r="ABR35" s="8"/>
      <c r="ABS35" s="8"/>
      <c r="ABT35" s="8"/>
      <c r="ABU35" s="8"/>
      <c r="ABV35" s="8"/>
      <c r="ABW35" s="8"/>
      <c r="ABX35" s="8"/>
      <c r="ABY35" s="8"/>
      <c r="ABZ35" s="8"/>
      <c r="ACA35" s="8"/>
      <c r="ACB35" s="8"/>
      <c r="ACC35" s="8"/>
      <c r="ACD35" s="8"/>
      <c r="ACE35" s="8"/>
      <c r="ACF35" s="8"/>
      <c r="ACG35" s="8"/>
      <c r="ACH35" s="8"/>
      <c r="ACI35" s="8"/>
      <c r="ACJ35" s="8"/>
      <c r="ACK35" s="8"/>
      <c r="ACL35" s="8"/>
      <c r="ACM35" s="8"/>
      <c r="ACN35" s="8"/>
      <c r="ACO35" s="8"/>
      <c r="ACP35" s="8"/>
      <c r="ACQ35" s="8"/>
      <c r="ACR35" s="8"/>
      <c r="ACS35" s="8"/>
      <c r="ACT35" s="8"/>
      <c r="ACU35" s="8"/>
      <c r="ACV35" s="8"/>
      <c r="ACW35" s="8"/>
      <c r="ACX35" s="8"/>
      <c r="ACY35" s="8"/>
      <c r="ACZ35" s="8"/>
      <c r="ADA35" s="8"/>
      <c r="ADB35" s="8"/>
      <c r="ADC35" s="8"/>
      <c r="ADD35" s="8"/>
      <c r="ADE35" s="8"/>
      <c r="ADF35" s="8"/>
      <c r="ADG35" s="8"/>
      <c r="ADH35" s="8"/>
      <c r="ADI35" s="8"/>
      <c r="ADJ35" s="8"/>
      <c r="ADK35" s="8"/>
      <c r="ADL35" s="8"/>
      <c r="ADM35" s="8"/>
      <c r="ADN35" s="8"/>
      <c r="ADO35" s="8"/>
      <c r="ADP35" s="8"/>
      <c r="ADQ35" s="8"/>
      <c r="ADR35" s="8"/>
      <c r="ADS35" s="8"/>
      <c r="ADT35" s="8"/>
      <c r="ADU35" s="8"/>
      <c r="ADV35" s="8"/>
      <c r="ADW35" s="8"/>
      <c r="ADX35" s="8"/>
      <c r="ADY35" s="8"/>
      <c r="ADZ35" s="8"/>
      <c r="AEA35" s="8"/>
      <c r="AEB35" s="8"/>
      <c r="AEC35" s="8"/>
      <c r="AED35" s="8"/>
      <c r="AEE35" s="8"/>
      <c r="AEF35" s="8"/>
      <c r="AEG35" s="8"/>
      <c r="AEH35" s="8"/>
      <c r="AEI35" s="8"/>
      <c r="AEJ35" s="8"/>
      <c r="AEK35" s="8"/>
      <c r="AEL35" s="8"/>
      <c r="AEM35" s="8"/>
      <c r="AEN35" s="8"/>
      <c r="AEO35" s="8"/>
      <c r="AEP35" s="8"/>
      <c r="AEQ35" s="8"/>
      <c r="AER35" s="8"/>
      <c r="AES35" s="8"/>
      <c r="AET35" s="8"/>
      <c r="AEU35" s="8"/>
      <c r="AEV35" s="8"/>
      <c r="AEW35" s="8"/>
      <c r="AEX35" s="8"/>
      <c r="AEY35" s="8"/>
      <c r="AEZ35" s="8"/>
      <c r="AFA35" s="8"/>
      <c r="AFB35" s="8"/>
      <c r="AFC35" s="8"/>
      <c r="AFD35" s="8"/>
      <c r="AFE35" s="8"/>
      <c r="AFF35" s="8"/>
      <c r="AFG35" s="8"/>
      <c r="AFH35" s="8"/>
      <c r="AFI35" s="8"/>
      <c r="AFJ35" s="8"/>
      <c r="AFK35" s="8"/>
      <c r="AFL35" s="8"/>
      <c r="AFM35" s="8"/>
      <c r="AFN35" s="8"/>
      <c r="AFO35" s="8"/>
      <c r="AFP35" s="8"/>
      <c r="AFQ35" s="8"/>
      <c r="AFR35" s="8"/>
      <c r="AFS35" s="8"/>
      <c r="AFT35" s="8"/>
      <c r="AFU35" s="8"/>
      <c r="AFV35" s="8"/>
      <c r="AFW35" s="8"/>
      <c r="AFX35" s="8"/>
      <c r="AFY35" s="8"/>
      <c r="AFZ35" s="8"/>
      <c r="AGA35" s="8"/>
      <c r="AGB35" s="8"/>
      <c r="AGC35" s="8"/>
      <c r="AGD35" s="8"/>
      <c r="AGE35" s="8"/>
      <c r="AGF35" s="8"/>
      <c r="AGG35" s="8"/>
      <c r="AGH35" s="8"/>
      <c r="AGI35" s="8"/>
      <c r="AGJ35" s="8"/>
      <c r="AGK35" s="8"/>
      <c r="AGL35" s="8"/>
      <c r="AGM35" s="8"/>
      <c r="AGN35" s="8"/>
      <c r="AGO35" s="8"/>
      <c r="AGP35" s="8"/>
      <c r="AGQ35" s="8"/>
      <c r="AGR35" s="8"/>
      <c r="AGS35" s="8"/>
      <c r="AGT35" s="8"/>
      <c r="AGU35" s="8"/>
      <c r="AGV35" s="8"/>
      <c r="AGW35" s="8"/>
      <c r="AGX35" s="8"/>
      <c r="AGY35" s="8"/>
      <c r="AGZ35" s="8"/>
      <c r="AHA35" s="8"/>
      <c r="AHB35" s="8"/>
      <c r="AHC35" s="8"/>
      <c r="AHD35" s="8"/>
      <c r="AHE35" s="8"/>
      <c r="AHF35" s="8"/>
      <c r="AHG35" s="8"/>
      <c r="AHH35" s="8"/>
      <c r="AHI35" s="8"/>
      <c r="AHJ35" s="8"/>
      <c r="AHK35" s="8"/>
      <c r="AHL35" s="8"/>
      <c r="AHM35" s="8"/>
      <c r="AHN35" s="8"/>
      <c r="AHO35" s="8"/>
      <c r="AHP35" s="8"/>
      <c r="AHQ35" s="8"/>
      <c r="AHR35" s="8"/>
      <c r="AHS35" s="8"/>
      <c r="AHT35" s="8"/>
      <c r="AHU35" s="8"/>
      <c r="AHV35" s="8"/>
      <c r="AHW35" s="8"/>
      <c r="AHX35" s="8"/>
      <c r="AHY35" s="8"/>
      <c r="AHZ35" s="8"/>
      <c r="AIA35" s="8"/>
      <c r="AIB35" s="8"/>
      <c r="AIC35" s="8"/>
      <c r="AID35" s="8"/>
      <c r="AIE35" s="8"/>
      <c r="AIF35" s="8"/>
      <c r="AIG35" s="8"/>
      <c r="AIH35" s="8"/>
      <c r="AII35" s="8"/>
      <c r="AIJ35" s="8"/>
      <c r="AIK35" s="8"/>
      <c r="AIL35" s="8"/>
      <c r="AIM35" s="8"/>
      <c r="AIN35" s="8"/>
      <c r="AIO35" s="8"/>
      <c r="AIP35" s="8"/>
      <c r="AIQ35" s="8"/>
      <c r="AIR35" s="8"/>
      <c r="AIS35" s="8"/>
      <c r="AIT35" s="8"/>
      <c r="AIU35" s="8"/>
      <c r="AIV35" s="8"/>
      <c r="AIW35" s="8"/>
      <c r="AIX35" s="8"/>
      <c r="AIY35" s="8"/>
      <c r="AIZ35" s="8"/>
      <c r="AJA35" s="8"/>
      <c r="AJB35" s="8"/>
      <c r="AJC35" s="8"/>
      <c r="AJD35" s="8"/>
      <c r="AJE35" s="8"/>
      <c r="AJF35" s="8"/>
      <c r="AJG35" s="8"/>
      <c r="AJH35" s="8"/>
      <c r="AJI35" s="8"/>
      <c r="AJJ35" s="8"/>
      <c r="AJK35" s="8"/>
      <c r="AJL35" s="8"/>
      <c r="AJM35" s="8"/>
      <c r="AJN35" s="8"/>
      <c r="AJO35" s="8"/>
      <c r="AJP35" s="8"/>
      <c r="AJQ35" s="8"/>
      <c r="AJR35" s="8"/>
      <c r="AJS35" s="8"/>
      <c r="AJT35" s="8"/>
      <c r="AJU35" s="8"/>
      <c r="AJV35" s="8"/>
      <c r="AJW35" s="8"/>
      <c r="AJX35" s="8"/>
      <c r="AJY35" s="8"/>
      <c r="AJZ35" s="8"/>
      <c r="AKA35" s="8"/>
      <c r="AKB35" s="8"/>
      <c r="AKC35" s="8"/>
      <c r="AKD35" s="8"/>
      <c r="AKE35" s="8"/>
      <c r="AKF35" s="8"/>
      <c r="AKG35" s="8"/>
      <c r="AKH35" s="8"/>
      <c r="AKI35" s="8"/>
      <c r="AKJ35" s="8"/>
      <c r="AKK35" s="8"/>
      <c r="AKL35" s="8"/>
      <c r="AKM35" s="8"/>
      <c r="AKN35" s="8"/>
      <c r="AKO35" s="8"/>
      <c r="AKP35" s="8"/>
      <c r="AKQ35" s="8"/>
      <c r="AKR35" s="8"/>
      <c r="AKS35" s="8"/>
      <c r="AKT35" s="8"/>
      <c r="AKU35" s="8"/>
      <c r="AKV35" s="8"/>
      <c r="AKW35" s="8"/>
      <c r="AKX35" s="8"/>
      <c r="AKY35" s="8"/>
      <c r="AKZ35" s="8"/>
      <c r="ALA35" s="8"/>
      <c r="ALB35" s="8"/>
      <c r="ALC35" s="8"/>
      <c r="ALD35" s="8"/>
      <c r="ALE35" s="8"/>
      <c r="ALF35" s="8"/>
      <c r="ALG35" s="8"/>
      <c r="ALH35" s="8"/>
      <c r="ALI35" s="8"/>
      <c r="ALJ35" s="8"/>
      <c r="ALK35" s="8"/>
      <c r="ALL35" s="8"/>
      <c r="ALM35" s="8"/>
      <c r="ALN35" s="8"/>
      <c r="ALO35" s="8"/>
      <c r="ALP35" s="8"/>
      <c r="ALQ35" s="8"/>
      <c r="ALR35" s="8"/>
      <c r="ALS35" s="8"/>
      <c r="ALT35" s="8"/>
      <c r="ALU35" s="8"/>
      <c r="ALV35" s="8"/>
      <c r="ALW35" s="8"/>
      <c r="ALX35" s="8"/>
      <c r="ALY35" s="8"/>
      <c r="ALZ35" s="8"/>
      <c r="AMA35" s="8"/>
      <c r="AMB35" s="8"/>
      <c r="AMC35" s="8"/>
      <c r="AMD35" s="8"/>
      <c r="AME35" s="8"/>
      <c r="AMF35" s="8"/>
      <c r="AMG35" s="8"/>
      <c r="AMH35" s="8"/>
      <c r="AMI35" s="8"/>
      <c r="AMJ35" s="8"/>
      <c r="AMK35" s="8"/>
      <c r="AML35" s="8"/>
      <c r="AMM35" s="8"/>
      <c r="AMN35" s="8"/>
      <c r="AMO35" s="8"/>
      <c r="AMP35" s="8"/>
      <c r="AMQ35" s="8"/>
      <c r="AMR35" s="8"/>
      <c r="AMS35" s="8"/>
      <c r="AMT35" s="8"/>
      <c r="AMU35" s="8"/>
      <c r="AMV35" s="8"/>
      <c r="AMW35" s="8"/>
      <c r="AMX35" s="8"/>
      <c r="AMY35" s="8"/>
      <c r="AMZ35" s="8"/>
      <c r="ANA35" s="8"/>
      <c r="ANB35" s="8"/>
      <c r="ANC35" s="8"/>
      <c r="AND35" s="8"/>
      <c r="ANE35" s="8"/>
      <c r="ANF35" s="8"/>
      <c r="ANG35" s="8"/>
      <c r="ANH35" s="8"/>
      <c r="ANI35" s="8"/>
      <c r="ANJ35" s="8"/>
      <c r="ANK35" s="8"/>
      <c r="ANL35" s="8"/>
      <c r="ANM35" s="8"/>
      <c r="ANN35" s="8"/>
      <c r="ANO35" s="8"/>
      <c r="ANP35" s="8"/>
      <c r="ANQ35" s="8"/>
      <c r="ANR35" s="8"/>
      <c r="ANS35" s="8"/>
      <c r="ANT35" s="8"/>
      <c r="ANU35" s="8"/>
      <c r="ANV35" s="8"/>
      <c r="ANW35" s="8"/>
      <c r="ANX35" s="8"/>
      <c r="ANY35" s="8"/>
      <c r="ANZ35" s="8"/>
      <c r="AOA35" s="8"/>
      <c r="AOB35" s="8"/>
      <c r="AOC35" s="8"/>
      <c r="AOD35" s="8"/>
      <c r="AOE35" s="8"/>
      <c r="AOF35" s="8"/>
      <c r="AOG35" s="8"/>
      <c r="AOH35" s="8"/>
      <c r="AOI35" s="8"/>
      <c r="AOJ35" s="8"/>
      <c r="AOK35" s="8"/>
      <c r="AOL35" s="8"/>
      <c r="AOM35" s="8"/>
      <c r="AON35" s="8"/>
      <c r="AOO35" s="8"/>
      <c r="AOP35" s="8"/>
      <c r="AOQ35" s="8"/>
      <c r="AOR35" s="8"/>
      <c r="AOS35" s="8"/>
      <c r="AOT35" s="8"/>
      <c r="AOU35" s="8"/>
      <c r="AOV35" s="8"/>
      <c r="AOW35" s="8"/>
      <c r="AOX35" s="8"/>
      <c r="AOY35" s="8"/>
      <c r="AOZ35" s="8"/>
      <c r="APA35" s="8"/>
      <c r="APB35" s="8"/>
      <c r="APC35" s="8"/>
      <c r="APD35" s="8"/>
      <c r="APE35" s="8"/>
      <c r="APF35" s="8"/>
      <c r="APG35" s="8"/>
      <c r="APH35" s="8"/>
      <c r="API35" s="8"/>
      <c r="APJ35" s="8"/>
      <c r="APK35" s="8"/>
      <c r="APL35" s="8"/>
      <c r="APM35" s="8"/>
      <c r="APN35" s="8"/>
      <c r="APO35" s="8"/>
      <c r="APP35" s="8"/>
      <c r="APQ35" s="8"/>
      <c r="APR35" s="8"/>
      <c r="APS35" s="8"/>
      <c r="APT35" s="8"/>
      <c r="APU35" s="8"/>
      <c r="APV35" s="8"/>
      <c r="APW35" s="8"/>
      <c r="APX35" s="8"/>
      <c r="APY35" s="8"/>
      <c r="APZ35" s="8"/>
      <c r="AQA35" s="8"/>
      <c r="AQB35" s="8"/>
      <c r="AQC35" s="8"/>
      <c r="AQD35" s="8"/>
      <c r="AQE35" s="8"/>
      <c r="AQF35" s="8"/>
      <c r="AQG35" s="8"/>
      <c r="AQH35" s="8"/>
      <c r="AQI35" s="8"/>
      <c r="AQJ35" s="8"/>
      <c r="AQK35" s="8"/>
      <c r="AQL35" s="8"/>
      <c r="AQM35" s="8"/>
      <c r="AQN35" s="8"/>
      <c r="AQO35" s="8"/>
      <c r="AQP35" s="8"/>
      <c r="AQQ35" s="8"/>
      <c r="AQR35" s="8"/>
      <c r="AQS35" s="8"/>
      <c r="AQT35" s="8"/>
      <c r="AQU35" s="8"/>
      <c r="AQV35" s="8"/>
      <c r="AQW35" s="8"/>
      <c r="AQX35" s="8"/>
      <c r="AQY35" s="8"/>
      <c r="AQZ35" s="8"/>
      <c r="ARA35" s="8"/>
      <c r="ARB35" s="8"/>
      <c r="ARC35" s="8"/>
      <c r="ARD35" s="8"/>
      <c r="ARE35" s="8"/>
      <c r="ARF35" s="8"/>
      <c r="ARG35" s="8"/>
      <c r="ARH35" s="8"/>
      <c r="ARI35" s="8"/>
      <c r="ARJ35" s="8"/>
      <c r="ARK35" s="8"/>
      <c r="ARL35" s="8"/>
      <c r="ARM35" s="8"/>
      <c r="ARN35" s="8"/>
      <c r="ARO35" s="8"/>
      <c r="ARP35" s="8"/>
      <c r="ARQ35" s="8"/>
      <c r="ARR35" s="8"/>
      <c r="ARS35" s="8"/>
      <c r="ART35" s="8"/>
      <c r="ARU35" s="8"/>
      <c r="ARV35" s="8"/>
      <c r="ARW35" s="8"/>
      <c r="ARX35" s="8"/>
      <c r="ARY35" s="8"/>
      <c r="ARZ35" s="8"/>
      <c r="ASA35" s="8"/>
      <c r="ASB35" s="8"/>
      <c r="ASC35" s="8"/>
      <c r="ASD35" s="8"/>
      <c r="ASE35" s="8"/>
      <c r="ASF35" s="8"/>
      <c r="ASG35" s="8"/>
      <c r="ASH35" s="8"/>
      <c r="ASI35" s="8"/>
      <c r="ASJ35" s="8"/>
      <c r="ASK35" s="8"/>
      <c r="ASL35" s="8"/>
      <c r="ASM35" s="8"/>
      <c r="ASN35" s="8"/>
      <c r="ASO35" s="8"/>
      <c r="ASP35" s="8"/>
      <c r="ASQ35" s="8"/>
      <c r="ASR35" s="8"/>
      <c r="ASS35" s="8"/>
      <c r="AST35" s="8"/>
      <c r="ASU35" s="8"/>
      <c r="ASV35" s="8"/>
      <c r="ASW35" s="8"/>
      <c r="ASX35" s="8"/>
      <c r="ASY35" s="8"/>
      <c r="ASZ35" s="8"/>
      <c r="ATA35" s="8"/>
      <c r="ATB35" s="8"/>
      <c r="ATC35" s="8"/>
      <c r="ATD35" s="8"/>
      <c r="ATE35" s="8"/>
      <c r="ATF35" s="8"/>
      <c r="ATG35" s="8"/>
      <c r="ATH35" s="8"/>
      <c r="ATI35" s="8"/>
      <c r="ATJ35" s="8"/>
      <c r="ATK35" s="8"/>
      <c r="ATL35" s="8"/>
      <c r="ATM35" s="8"/>
      <c r="ATN35" s="8"/>
      <c r="ATO35" s="8"/>
      <c r="ATP35" s="8"/>
      <c r="ATQ35" s="8"/>
      <c r="ATR35" s="8"/>
      <c r="ATS35" s="8"/>
      <c r="ATT35" s="8"/>
      <c r="ATU35" s="8"/>
      <c r="ATV35" s="8"/>
      <c r="ATW35" s="8"/>
      <c r="ATX35" s="8"/>
      <c r="ATY35" s="8"/>
      <c r="ATZ35" s="8"/>
      <c r="AUA35" s="8"/>
      <c r="AUB35" s="8"/>
      <c r="AUC35" s="8"/>
      <c r="AUD35" s="8"/>
      <c r="AUE35" s="8"/>
      <c r="AUF35" s="8"/>
      <c r="AUG35" s="8"/>
      <c r="AUH35" s="8"/>
      <c r="AUI35" s="8"/>
      <c r="AUJ35" s="8"/>
      <c r="AUK35" s="8"/>
      <c r="AUL35" s="8"/>
      <c r="AUM35" s="8"/>
      <c r="AUN35" s="8"/>
      <c r="AUO35" s="8"/>
      <c r="AUP35" s="8"/>
      <c r="AUQ35" s="8"/>
      <c r="AUR35" s="8"/>
      <c r="AUS35" s="8"/>
      <c r="AUT35" s="8"/>
      <c r="AUU35" s="8"/>
      <c r="AUV35" s="8"/>
      <c r="AUW35" s="8"/>
      <c r="AUX35" s="8"/>
      <c r="AUY35" s="8"/>
      <c r="AUZ35" s="8"/>
      <c r="AVA35" s="8"/>
      <c r="AVB35" s="8"/>
      <c r="AVC35" s="8"/>
      <c r="AVD35" s="8"/>
      <c r="AVE35" s="8"/>
      <c r="AVF35" s="8"/>
      <c r="AVG35" s="8"/>
      <c r="AVH35" s="8"/>
      <c r="AVI35" s="8"/>
      <c r="AVJ35" s="8"/>
      <c r="AVK35" s="8"/>
      <c r="AVL35" s="8"/>
      <c r="AVM35" s="8"/>
      <c r="AVN35" s="8"/>
      <c r="AVO35" s="8"/>
      <c r="AVP35" s="8"/>
      <c r="AVQ35" s="8"/>
      <c r="AVR35" s="8"/>
      <c r="AVS35" s="8"/>
      <c r="AVT35" s="8"/>
      <c r="AVU35" s="8"/>
      <c r="AVV35" s="8"/>
      <c r="AVW35" s="8"/>
      <c r="AVX35" s="8"/>
      <c r="AVY35" s="8"/>
      <c r="AVZ35" s="8"/>
      <c r="AWA35" s="8"/>
      <c r="AWB35" s="8"/>
      <c r="AWC35" s="8"/>
      <c r="AWD35" s="8"/>
      <c r="AWE35" s="8"/>
      <c r="AWF35" s="8"/>
      <c r="AWG35" s="8"/>
      <c r="AWH35" s="8"/>
      <c r="AWI35" s="8"/>
      <c r="AWJ35" s="8"/>
      <c r="AWK35" s="8"/>
      <c r="AWL35" s="8"/>
      <c r="AWM35" s="8"/>
      <c r="AWN35" s="8"/>
      <c r="AWO35" s="8"/>
      <c r="AWP35" s="8"/>
      <c r="AWQ35" s="8"/>
      <c r="AWR35" s="8"/>
      <c r="AWS35" s="8"/>
      <c r="AWT35" s="8"/>
      <c r="AWU35" s="8"/>
      <c r="AWV35" s="8"/>
      <c r="AWW35" s="8"/>
      <c r="AWX35" s="8"/>
      <c r="AWY35" s="8"/>
      <c r="AWZ35" s="8"/>
      <c r="AXA35" s="8"/>
      <c r="AXB35" s="8"/>
      <c r="AXC35" s="8"/>
      <c r="AXD35" s="8"/>
      <c r="AXE35" s="8"/>
      <c r="AXF35" s="8"/>
      <c r="AXG35" s="8"/>
      <c r="AXH35" s="8"/>
      <c r="AXI35" s="8"/>
      <c r="AXJ35" s="8"/>
      <c r="AXK35" s="8"/>
      <c r="AXL35" s="8"/>
      <c r="AXM35" s="8"/>
      <c r="AXN35" s="8"/>
      <c r="AXO35" s="8"/>
      <c r="AXP35" s="8"/>
      <c r="AXQ35" s="8"/>
      <c r="AXR35" s="8"/>
      <c r="AXS35" s="8"/>
      <c r="AXT35" s="8"/>
      <c r="AXU35" s="8"/>
      <c r="AXV35" s="8"/>
      <c r="AXW35" s="8"/>
      <c r="AXX35" s="8"/>
      <c r="AXY35" s="8"/>
      <c r="AXZ35" s="8"/>
      <c r="AYA35" s="8"/>
      <c r="AYB35" s="8"/>
      <c r="AYC35" s="8"/>
      <c r="AYD35" s="8"/>
      <c r="AYE35" s="8"/>
      <c r="AYF35" s="8"/>
      <c r="AYG35" s="8"/>
      <c r="AYH35" s="8"/>
      <c r="AYI35" s="8"/>
      <c r="AYJ35" s="8"/>
      <c r="AYK35" s="8"/>
      <c r="AYL35" s="8"/>
      <c r="AYM35" s="8"/>
      <c r="AYN35" s="8"/>
      <c r="AYO35" s="8"/>
      <c r="AYP35" s="8"/>
      <c r="AYQ35" s="8"/>
      <c r="AYR35" s="8"/>
      <c r="AYS35" s="8"/>
      <c r="AYT35" s="8"/>
      <c r="AYU35" s="8"/>
      <c r="AYV35" s="8"/>
      <c r="AYW35" s="8"/>
      <c r="AYX35" s="8"/>
      <c r="AYY35" s="8"/>
      <c r="AYZ35" s="8"/>
      <c r="AZA35" s="8"/>
      <c r="AZB35" s="8"/>
      <c r="AZC35" s="8"/>
      <c r="AZD35" s="8"/>
      <c r="AZE35" s="8"/>
      <c r="AZF35" s="8"/>
      <c r="AZG35" s="8"/>
      <c r="AZH35" s="8"/>
      <c r="AZI35" s="8"/>
      <c r="AZJ35" s="8"/>
      <c r="AZK35" s="8"/>
      <c r="AZL35" s="8"/>
      <c r="AZM35" s="8"/>
      <c r="AZN35" s="8"/>
      <c r="AZO35" s="8"/>
      <c r="AZP35" s="8"/>
      <c r="AZQ35" s="8"/>
      <c r="AZR35" s="8"/>
      <c r="AZS35" s="8"/>
      <c r="AZT35" s="8"/>
      <c r="AZU35" s="8"/>
      <c r="AZV35" s="8"/>
      <c r="AZW35" s="8"/>
      <c r="AZX35" s="8"/>
      <c r="AZY35" s="8"/>
      <c r="AZZ35" s="8"/>
      <c r="BAA35" s="8"/>
      <c r="BAB35" s="8"/>
      <c r="BAC35" s="8"/>
      <c r="BAD35" s="8"/>
      <c r="BAE35" s="8"/>
      <c r="BAF35" s="8"/>
      <c r="BAG35" s="8"/>
      <c r="BAH35" s="8"/>
      <c r="BAI35" s="8"/>
      <c r="BAJ35" s="8"/>
      <c r="BAK35" s="8"/>
      <c r="BAL35" s="8"/>
      <c r="BAM35" s="8"/>
      <c r="BAN35" s="8"/>
      <c r="BAO35" s="8"/>
      <c r="BAP35" s="8"/>
      <c r="BAQ35" s="8"/>
      <c r="BAR35" s="8"/>
      <c r="BAS35" s="8"/>
      <c r="BAT35" s="8"/>
      <c r="BAU35" s="8"/>
      <c r="BAV35" s="8"/>
      <c r="BAW35" s="8"/>
      <c r="BAX35" s="8"/>
      <c r="BAY35" s="8"/>
      <c r="BAZ35" s="8"/>
      <c r="BBA35" s="8"/>
      <c r="BBB35" s="8"/>
      <c r="BBC35" s="8"/>
      <c r="BBD35" s="8"/>
      <c r="BBE35" s="8"/>
      <c r="BBF35" s="8"/>
      <c r="BBG35" s="8"/>
      <c r="BBH35" s="8"/>
      <c r="BBI35" s="8"/>
      <c r="BBJ35" s="8"/>
      <c r="BBK35" s="8"/>
      <c r="BBL35" s="8"/>
      <c r="BBM35" s="8"/>
      <c r="BBN35" s="8"/>
      <c r="BBO35" s="8"/>
      <c r="BBP35" s="8"/>
      <c r="BBQ35" s="8"/>
      <c r="BBR35" s="8"/>
      <c r="BBS35" s="8"/>
      <c r="BBT35" s="8"/>
      <c r="BBU35" s="8"/>
      <c r="BBV35" s="8"/>
      <c r="BBW35" s="8"/>
      <c r="BBX35" s="8"/>
      <c r="BBY35" s="8"/>
      <c r="BBZ35" s="8"/>
      <c r="BCA35" s="8"/>
      <c r="BCB35" s="8"/>
      <c r="BCC35" s="8"/>
      <c r="BCD35" s="8"/>
      <c r="BCE35" s="8"/>
      <c r="BCF35" s="8"/>
      <c r="BCG35" s="8"/>
      <c r="BCH35" s="8"/>
      <c r="BCI35" s="8"/>
      <c r="BCJ35" s="8"/>
      <c r="BCK35" s="8"/>
      <c r="BCL35" s="8"/>
      <c r="BCM35" s="8"/>
      <c r="BCN35" s="8"/>
      <c r="BCO35" s="8"/>
      <c r="BCP35" s="8"/>
      <c r="BCQ35" s="8"/>
      <c r="BCR35" s="8"/>
      <c r="BCS35" s="8"/>
      <c r="BCT35" s="8"/>
      <c r="BCU35" s="8"/>
      <c r="BCV35" s="8"/>
      <c r="BCW35" s="8"/>
      <c r="BCX35" s="8"/>
      <c r="BCY35" s="8"/>
      <c r="BCZ35" s="8"/>
      <c r="BDA35" s="8"/>
      <c r="BDB35" s="8"/>
      <c r="BDC35" s="8"/>
      <c r="BDD35" s="8"/>
      <c r="BDE35" s="8"/>
      <c r="BDF35" s="8"/>
      <c r="BDG35" s="8"/>
      <c r="BDH35" s="8"/>
      <c r="BDI35" s="8"/>
      <c r="BDJ35" s="8"/>
      <c r="BDK35" s="8"/>
      <c r="BDL35" s="8"/>
      <c r="BDM35" s="8"/>
      <c r="BDN35" s="8"/>
      <c r="BDO35" s="8"/>
      <c r="BDP35" s="8"/>
      <c r="BDQ35" s="8"/>
      <c r="BDR35" s="8"/>
      <c r="BDS35" s="8"/>
      <c r="BDT35" s="8"/>
      <c r="BDU35" s="8"/>
      <c r="BDV35" s="8"/>
      <c r="BDW35" s="8"/>
      <c r="BDX35" s="8"/>
      <c r="BDY35" s="8"/>
      <c r="BDZ35" s="8"/>
      <c r="BEA35" s="8"/>
      <c r="BEB35" s="8"/>
      <c r="BEC35" s="8"/>
      <c r="BED35" s="8"/>
      <c r="BEE35" s="8"/>
      <c r="BEF35" s="8"/>
      <c r="BEG35" s="8"/>
      <c r="BEH35" s="8"/>
      <c r="BEI35" s="8"/>
      <c r="BEJ35" s="8"/>
      <c r="BEK35" s="8"/>
      <c r="BEL35" s="8"/>
      <c r="BEM35" s="8"/>
      <c r="BEN35" s="8"/>
      <c r="BEO35" s="8"/>
      <c r="BEP35" s="8"/>
      <c r="BEQ35" s="8"/>
      <c r="BER35" s="8"/>
      <c r="BES35" s="8"/>
      <c r="BET35" s="8"/>
      <c r="BEU35" s="8"/>
      <c r="BEV35" s="8"/>
      <c r="BEW35" s="8"/>
      <c r="BEX35" s="8"/>
      <c r="BEY35" s="8"/>
      <c r="BEZ35" s="8"/>
      <c r="BFA35" s="8"/>
      <c r="BFB35" s="8"/>
      <c r="BFC35" s="8"/>
      <c r="BFD35" s="8"/>
      <c r="BFE35" s="8"/>
      <c r="BFF35" s="8"/>
      <c r="BFG35" s="8"/>
      <c r="BFH35" s="8"/>
      <c r="BFI35" s="8"/>
      <c r="BFJ35" s="8"/>
      <c r="BFK35" s="8"/>
      <c r="BFL35" s="8"/>
      <c r="BFM35" s="8"/>
      <c r="BFN35" s="8"/>
      <c r="BFO35" s="8"/>
      <c r="BFP35" s="8"/>
      <c r="BFQ35" s="8"/>
      <c r="BFR35" s="8"/>
      <c r="BFS35" s="8"/>
      <c r="BFT35" s="8"/>
      <c r="BFU35" s="8"/>
      <c r="BFV35" s="8"/>
      <c r="BFW35" s="8"/>
      <c r="BFX35" s="8"/>
      <c r="BFY35" s="8"/>
      <c r="BFZ35" s="8"/>
      <c r="BGA35" s="8"/>
      <c r="BGB35" s="8"/>
      <c r="BGC35" s="8"/>
      <c r="BGD35" s="8"/>
      <c r="BGE35" s="8"/>
      <c r="BGF35" s="8"/>
      <c r="BGG35" s="8"/>
      <c r="BGH35" s="8"/>
      <c r="BGI35" s="8"/>
      <c r="BGJ35" s="8"/>
      <c r="BGK35" s="8"/>
      <c r="BGL35" s="8"/>
      <c r="BGM35" s="8"/>
      <c r="BGN35" s="8"/>
      <c r="BGO35" s="8"/>
      <c r="BGP35" s="8"/>
      <c r="BGQ35" s="8"/>
      <c r="BGR35" s="8"/>
      <c r="BGS35" s="8"/>
      <c r="BGT35" s="8"/>
      <c r="BGU35" s="8"/>
      <c r="BGV35" s="8"/>
      <c r="BGW35" s="8"/>
      <c r="BGX35" s="8"/>
      <c r="BGY35" s="8"/>
      <c r="BGZ35" s="8"/>
      <c r="BHA35" s="8"/>
      <c r="BHB35" s="8"/>
      <c r="BHC35" s="8"/>
      <c r="BHD35" s="8"/>
      <c r="BHE35" s="8"/>
      <c r="BHF35" s="8"/>
      <c r="BHG35" s="8"/>
      <c r="BHH35" s="8"/>
      <c r="BHI35" s="8"/>
      <c r="BHJ35" s="8"/>
      <c r="BHK35" s="8"/>
      <c r="BHL35" s="8"/>
      <c r="BHM35" s="8"/>
      <c r="BHN35" s="8"/>
      <c r="BHO35" s="8"/>
      <c r="BHP35" s="8"/>
      <c r="BHQ35" s="8"/>
      <c r="BHR35" s="8"/>
      <c r="BHS35" s="8"/>
      <c r="BHT35" s="8"/>
      <c r="BHU35" s="8"/>
      <c r="BHV35" s="8"/>
      <c r="BHW35" s="8"/>
      <c r="BHX35" s="8"/>
      <c r="BHY35" s="8"/>
      <c r="BHZ35" s="8"/>
      <c r="BIA35" s="8"/>
      <c r="BIB35" s="8"/>
      <c r="BIC35" s="8"/>
      <c r="BID35" s="8"/>
      <c r="BIE35" s="8"/>
      <c r="BIF35" s="8"/>
      <c r="BIG35" s="8"/>
      <c r="BIH35" s="8"/>
      <c r="BII35" s="8"/>
      <c r="BIJ35" s="8"/>
      <c r="BIK35" s="8"/>
      <c r="BIL35" s="8"/>
      <c r="BIM35" s="8"/>
      <c r="BIN35" s="8"/>
      <c r="BIO35" s="8"/>
      <c r="BIP35" s="8"/>
      <c r="BIQ35" s="8"/>
      <c r="BIR35" s="8"/>
      <c r="BIS35" s="8"/>
      <c r="BIT35" s="8"/>
      <c r="BIU35" s="8"/>
      <c r="BIV35" s="8"/>
      <c r="BIW35" s="8"/>
      <c r="BIX35" s="8"/>
      <c r="BIY35" s="8"/>
      <c r="BIZ35" s="8"/>
      <c r="BJA35" s="8"/>
      <c r="BJB35" s="8"/>
      <c r="BJC35" s="8"/>
      <c r="BJD35" s="8"/>
      <c r="BJE35" s="8"/>
      <c r="BJF35" s="8"/>
      <c r="BJG35" s="8"/>
      <c r="BJH35" s="8"/>
      <c r="BJI35" s="8"/>
      <c r="BJJ35" s="8"/>
      <c r="BJK35" s="8"/>
      <c r="BJL35" s="8"/>
      <c r="BJM35" s="8"/>
      <c r="BJN35" s="8"/>
      <c r="BJO35" s="8"/>
      <c r="BJP35" s="8"/>
      <c r="BJQ35" s="8"/>
      <c r="BJR35" s="8"/>
      <c r="BJS35" s="8"/>
      <c r="BJT35" s="8"/>
      <c r="BJU35" s="8"/>
      <c r="BJV35" s="8"/>
      <c r="BJW35" s="8"/>
      <c r="BJX35" s="8"/>
      <c r="BJY35" s="8"/>
      <c r="BJZ35" s="8"/>
      <c r="BKA35" s="8"/>
      <c r="BKB35" s="8"/>
      <c r="BKC35" s="8"/>
      <c r="BKD35" s="8"/>
      <c r="BKE35" s="8"/>
      <c r="BKF35" s="8"/>
      <c r="BKG35" s="8"/>
      <c r="BKH35" s="8"/>
      <c r="BKI35" s="8"/>
      <c r="BKJ35" s="8"/>
      <c r="BKK35" s="8"/>
      <c r="BKL35" s="8"/>
      <c r="BKM35" s="8"/>
      <c r="BKN35" s="8"/>
      <c r="BKO35" s="8"/>
      <c r="BKP35" s="8"/>
      <c r="BKQ35" s="8"/>
      <c r="BKR35" s="8"/>
      <c r="BKS35" s="8"/>
      <c r="BKT35" s="8"/>
      <c r="BKU35" s="8"/>
      <c r="BKV35" s="8"/>
      <c r="BKW35" s="8"/>
      <c r="BKX35" s="8"/>
      <c r="BKY35" s="8"/>
      <c r="BKZ35" s="8"/>
      <c r="BLA35" s="8"/>
      <c r="BLB35" s="8"/>
      <c r="BLC35" s="8"/>
      <c r="BLD35" s="8"/>
      <c r="BLE35" s="8"/>
      <c r="BLF35" s="8"/>
      <c r="BLG35" s="8"/>
      <c r="BLH35" s="8"/>
      <c r="BLI35" s="8"/>
      <c r="BLJ35" s="8"/>
      <c r="BLK35" s="8"/>
      <c r="BLL35" s="8"/>
      <c r="BLM35" s="8"/>
      <c r="BLN35" s="8"/>
      <c r="BLO35" s="8"/>
      <c r="BLP35" s="8"/>
      <c r="BLQ35" s="8"/>
      <c r="BLR35" s="8"/>
      <c r="BLS35" s="8"/>
      <c r="BLT35" s="8"/>
      <c r="BLU35" s="8"/>
      <c r="BLV35" s="8"/>
      <c r="BLW35" s="8"/>
      <c r="BLX35" s="8"/>
      <c r="BLY35" s="8"/>
      <c r="BLZ35" s="8"/>
      <c r="BMA35" s="8"/>
      <c r="BMB35" s="8"/>
      <c r="BMC35" s="8"/>
      <c r="BMD35" s="8"/>
      <c r="BME35" s="8"/>
      <c r="BMF35" s="8"/>
      <c r="BMG35" s="8"/>
      <c r="BMH35" s="8"/>
      <c r="BMI35" s="8"/>
      <c r="BMJ35" s="8"/>
      <c r="BMK35" s="8"/>
      <c r="BML35" s="8"/>
      <c r="BMM35" s="8"/>
      <c r="BMN35" s="8"/>
      <c r="BMO35" s="8"/>
      <c r="BMP35" s="8"/>
      <c r="BMQ35" s="8"/>
      <c r="BMR35" s="8"/>
      <c r="BMS35" s="8"/>
      <c r="BMT35" s="8"/>
      <c r="BMU35" s="8"/>
      <c r="BMV35" s="8"/>
      <c r="BMW35" s="8"/>
      <c r="BMX35" s="8"/>
      <c r="BMY35" s="8"/>
      <c r="BMZ35" s="8"/>
      <c r="BNA35" s="8"/>
      <c r="BNB35" s="8"/>
      <c r="BNC35" s="8"/>
      <c r="BND35" s="8"/>
      <c r="BNE35" s="8"/>
      <c r="BNF35" s="8"/>
      <c r="BNG35" s="8"/>
      <c r="BNH35" s="8"/>
      <c r="BNI35" s="8"/>
      <c r="BNJ35" s="8"/>
      <c r="BNK35" s="8"/>
      <c r="BNL35" s="8"/>
      <c r="BNM35" s="8"/>
      <c r="BNN35" s="8"/>
      <c r="BNO35" s="8"/>
      <c r="BNP35" s="8"/>
      <c r="BNQ35" s="8"/>
      <c r="BNR35" s="8"/>
      <c r="BNS35" s="8"/>
      <c r="BNT35" s="8"/>
      <c r="BNU35" s="8"/>
      <c r="BNV35" s="8"/>
      <c r="BNW35" s="8"/>
      <c r="BNX35" s="8"/>
      <c r="BNY35" s="8"/>
      <c r="BNZ35" s="8"/>
      <c r="BOA35" s="8"/>
      <c r="BOB35" s="8"/>
      <c r="BOC35" s="8"/>
      <c r="BOD35" s="8"/>
      <c r="BOE35" s="8"/>
      <c r="BOF35" s="8"/>
      <c r="BOG35" s="8"/>
      <c r="BOH35" s="8"/>
      <c r="BOI35" s="8"/>
      <c r="BOJ35" s="8"/>
      <c r="BOK35" s="8"/>
      <c r="BOL35" s="8"/>
      <c r="BOM35" s="8"/>
      <c r="BON35" s="8"/>
      <c r="BOO35" s="8"/>
      <c r="BOP35" s="8"/>
      <c r="BOQ35" s="8"/>
      <c r="BOR35" s="8"/>
      <c r="BOS35" s="8"/>
      <c r="BOT35" s="8"/>
      <c r="BOU35" s="8"/>
      <c r="BOV35" s="8"/>
      <c r="BOW35" s="8"/>
      <c r="BOX35" s="8"/>
      <c r="BOY35" s="8"/>
      <c r="BOZ35" s="8"/>
      <c r="BPA35" s="8"/>
      <c r="BPB35" s="8"/>
      <c r="BPC35" s="8"/>
      <c r="BPD35" s="8"/>
      <c r="BPE35" s="8"/>
      <c r="BPF35" s="8"/>
      <c r="BPG35" s="8"/>
      <c r="BPH35" s="8"/>
      <c r="BPI35" s="8"/>
      <c r="BPJ35" s="8"/>
      <c r="BPK35" s="8"/>
      <c r="BPL35" s="8"/>
      <c r="BPM35" s="8"/>
      <c r="BPN35" s="8"/>
      <c r="BPO35" s="8"/>
      <c r="BPP35" s="8"/>
      <c r="BPQ35" s="8"/>
      <c r="BPR35" s="8"/>
      <c r="BPS35" s="8"/>
      <c r="BPT35" s="8"/>
      <c r="BPU35" s="8"/>
      <c r="BPV35" s="8"/>
      <c r="BPW35" s="8"/>
      <c r="BPX35" s="8"/>
      <c r="BPY35" s="8"/>
      <c r="BPZ35" s="8"/>
      <c r="BQA35" s="8"/>
      <c r="BQB35" s="8"/>
      <c r="BQC35" s="8"/>
      <c r="BQD35" s="8"/>
      <c r="BQE35" s="8"/>
      <c r="BQF35" s="8"/>
      <c r="BQG35" s="8"/>
      <c r="BQH35" s="8"/>
      <c r="BQI35" s="8"/>
      <c r="BQJ35" s="8"/>
      <c r="BQK35" s="8"/>
      <c r="BQL35" s="8"/>
      <c r="BQM35" s="8"/>
      <c r="BQN35" s="8"/>
      <c r="BQO35" s="8"/>
      <c r="BQP35" s="8"/>
      <c r="BQQ35" s="8"/>
      <c r="BQR35" s="8"/>
      <c r="BQS35" s="8"/>
      <c r="BQT35" s="8"/>
      <c r="BQU35" s="8"/>
      <c r="BQV35" s="8"/>
      <c r="BQW35" s="8"/>
      <c r="BQX35" s="8"/>
      <c r="BQY35" s="8"/>
      <c r="BQZ35" s="8"/>
      <c r="BRA35" s="8"/>
      <c r="BRB35" s="8"/>
      <c r="BRC35" s="8"/>
      <c r="BRD35" s="8"/>
      <c r="BRE35" s="8"/>
      <c r="BRF35" s="8"/>
      <c r="BRG35" s="8"/>
      <c r="BRH35" s="8"/>
      <c r="BRI35" s="8"/>
      <c r="BRJ35" s="8"/>
      <c r="BRK35" s="8"/>
      <c r="BRL35" s="8"/>
      <c r="BRM35" s="8"/>
      <c r="BRN35" s="8"/>
      <c r="BRO35" s="8"/>
      <c r="BRP35" s="8"/>
      <c r="BRQ35" s="8"/>
      <c r="BRR35" s="8"/>
      <c r="BRS35" s="8"/>
      <c r="BRT35" s="8"/>
      <c r="BRU35" s="8"/>
      <c r="BRV35" s="8"/>
      <c r="BRW35" s="8"/>
      <c r="BRX35" s="8"/>
      <c r="BRY35" s="8"/>
      <c r="BRZ35" s="8"/>
      <c r="BSA35" s="8"/>
      <c r="BSB35" s="8"/>
      <c r="BSC35" s="8"/>
      <c r="BSD35" s="8"/>
      <c r="BSE35" s="8"/>
      <c r="BSF35" s="8"/>
      <c r="BSG35" s="8"/>
      <c r="BSH35" s="8"/>
      <c r="BSI35" s="8"/>
      <c r="BSJ35" s="8"/>
      <c r="BSK35" s="8"/>
      <c r="BSL35" s="8"/>
      <c r="BSM35" s="8"/>
      <c r="BSN35" s="8"/>
      <c r="BSO35" s="8"/>
      <c r="BSP35" s="8"/>
      <c r="BSQ35" s="8"/>
      <c r="BSR35" s="8"/>
      <c r="BSS35" s="8"/>
      <c r="BST35" s="8"/>
      <c r="BSU35" s="8"/>
      <c r="BSV35" s="8"/>
      <c r="BSW35" s="8"/>
      <c r="BSX35" s="8"/>
      <c r="BSY35" s="8"/>
      <c r="BSZ35" s="8"/>
      <c r="BTA35" s="8"/>
      <c r="BTB35" s="8"/>
      <c r="BTC35" s="8"/>
      <c r="BTD35" s="8"/>
      <c r="BTE35" s="8"/>
      <c r="BTF35" s="8"/>
      <c r="BTG35" s="8"/>
      <c r="BTH35" s="8"/>
      <c r="BTI35" s="8"/>
      <c r="BTJ35" s="8"/>
      <c r="BTK35" s="8"/>
      <c r="BTL35" s="8"/>
      <c r="BTM35" s="8"/>
      <c r="BTN35" s="8"/>
      <c r="BTO35" s="8"/>
      <c r="BTP35" s="8"/>
      <c r="BTQ35" s="8"/>
      <c r="BTR35" s="8"/>
      <c r="BTS35" s="8"/>
      <c r="BTT35" s="8"/>
      <c r="BTU35" s="8"/>
      <c r="BTV35" s="8"/>
      <c r="BTW35" s="8"/>
      <c r="BTX35" s="8"/>
      <c r="BTY35" s="8"/>
      <c r="BTZ35" s="8"/>
      <c r="BUA35" s="8"/>
      <c r="BUB35" s="8"/>
      <c r="BUC35" s="8"/>
      <c r="BUD35" s="8"/>
      <c r="BUE35" s="8"/>
      <c r="BUF35" s="8"/>
      <c r="BUG35" s="8"/>
      <c r="BUH35" s="8"/>
      <c r="BUI35" s="8"/>
      <c r="BUJ35" s="8"/>
      <c r="BUK35" s="8"/>
      <c r="BUL35" s="8"/>
      <c r="BUM35" s="8"/>
      <c r="BUN35" s="8"/>
      <c r="BUO35" s="8"/>
      <c r="BUP35" s="8"/>
      <c r="BUQ35" s="8"/>
      <c r="BUR35" s="8"/>
      <c r="BUS35" s="8"/>
      <c r="BUT35" s="8"/>
      <c r="BUU35" s="8"/>
      <c r="BUV35" s="8"/>
      <c r="BUW35" s="8"/>
      <c r="BUX35" s="8"/>
      <c r="BUY35" s="8"/>
      <c r="BUZ35" s="8"/>
      <c r="BVA35" s="8"/>
      <c r="BVB35" s="8"/>
      <c r="BVC35" s="8"/>
      <c r="BVD35" s="8"/>
      <c r="BVE35" s="8"/>
      <c r="BVF35" s="8"/>
      <c r="BVG35" s="8"/>
      <c r="BVH35" s="8"/>
      <c r="BVI35" s="8"/>
      <c r="BVJ35" s="8"/>
      <c r="BVK35" s="8"/>
      <c r="BVL35" s="8"/>
      <c r="BVM35" s="8"/>
      <c r="BVN35" s="8"/>
      <c r="BVO35" s="8"/>
      <c r="BVP35" s="8"/>
      <c r="BVQ35" s="8"/>
      <c r="BVR35" s="8"/>
      <c r="BVS35" s="8"/>
      <c r="BVT35" s="8"/>
      <c r="BVU35" s="8"/>
      <c r="BVV35" s="8"/>
      <c r="BVW35" s="8"/>
      <c r="BVX35" s="8"/>
      <c r="BVY35" s="8"/>
      <c r="BVZ35" s="8"/>
      <c r="BWA35" s="8"/>
      <c r="BWB35" s="8"/>
      <c r="BWC35" s="8"/>
      <c r="BWD35" s="8"/>
      <c r="BWE35" s="8"/>
      <c r="BWF35" s="8"/>
      <c r="BWG35" s="8"/>
      <c r="BWH35" s="8"/>
      <c r="BWI35" s="8"/>
      <c r="BWJ35" s="8"/>
      <c r="BWK35" s="8"/>
      <c r="BWL35" s="8"/>
      <c r="BWM35" s="8"/>
      <c r="BWN35" s="8"/>
      <c r="BWO35" s="8"/>
      <c r="BWP35" s="8"/>
      <c r="BWQ35" s="8"/>
      <c r="BWR35" s="8"/>
      <c r="BWS35" s="8"/>
      <c r="BWT35" s="8"/>
      <c r="BWU35" s="8"/>
      <c r="BWV35" s="8"/>
      <c r="BWW35" s="8"/>
      <c r="BWX35" s="8"/>
      <c r="BWY35" s="8"/>
      <c r="BWZ35" s="8"/>
      <c r="BXA35" s="8"/>
      <c r="BXB35" s="8"/>
      <c r="BXC35" s="8"/>
      <c r="BXD35" s="8"/>
      <c r="BXE35" s="8"/>
      <c r="BXF35" s="8"/>
      <c r="BXG35" s="8"/>
      <c r="BXH35" s="8"/>
      <c r="BXI35" s="8"/>
      <c r="BXJ35" s="8"/>
      <c r="BXK35" s="8"/>
      <c r="BXL35" s="8"/>
      <c r="BXM35" s="8"/>
      <c r="BXN35" s="8"/>
      <c r="BXO35" s="8"/>
      <c r="BXP35" s="8"/>
      <c r="BXQ35" s="8"/>
      <c r="BXR35" s="8"/>
      <c r="BXS35" s="8"/>
      <c r="BXT35" s="8"/>
      <c r="BXU35" s="8"/>
      <c r="BXV35" s="8"/>
      <c r="BXW35" s="8"/>
      <c r="BXX35" s="8"/>
      <c r="BXY35" s="8"/>
      <c r="BXZ35" s="8"/>
      <c r="BYA35" s="8"/>
      <c r="BYB35" s="8"/>
      <c r="BYC35" s="8"/>
      <c r="BYD35" s="8"/>
      <c r="BYE35" s="8"/>
      <c r="BYF35" s="8"/>
      <c r="BYG35" s="8"/>
      <c r="BYH35" s="8"/>
      <c r="BYI35" s="8"/>
      <c r="BYJ35" s="8"/>
      <c r="BYK35" s="8"/>
      <c r="BYL35" s="8"/>
      <c r="BYM35" s="8"/>
      <c r="BYN35" s="8"/>
      <c r="BYO35" s="8"/>
      <c r="BYP35" s="8"/>
      <c r="BYQ35" s="8"/>
      <c r="BYR35" s="8"/>
      <c r="BYS35" s="8"/>
      <c r="BYT35" s="8"/>
      <c r="BYU35" s="8"/>
      <c r="BYV35" s="8"/>
      <c r="BYW35" s="8"/>
      <c r="BYX35" s="8"/>
      <c r="BYY35" s="8"/>
      <c r="BYZ35" s="8"/>
      <c r="BZA35" s="8"/>
      <c r="BZB35" s="8"/>
      <c r="BZC35" s="8"/>
      <c r="BZD35" s="8"/>
      <c r="BZE35" s="8"/>
      <c r="BZF35" s="8"/>
      <c r="BZG35" s="8"/>
      <c r="BZH35" s="8"/>
      <c r="BZI35" s="8"/>
      <c r="BZJ35" s="8"/>
      <c r="BZK35" s="8"/>
      <c r="BZL35" s="8"/>
      <c r="BZM35" s="8"/>
      <c r="BZN35" s="8"/>
      <c r="BZO35" s="8"/>
      <c r="BZP35" s="8"/>
      <c r="BZQ35" s="8"/>
      <c r="BZR35" s="8"/>
      <c r="BZS35" s="8"/>
      <c r="BZT35" s="8"/>
      <c r="BZU35" s="8"/>
      <c r="BZV35" s="8"/>
      <c r="BZW35" s="8"/>
      <c r="BZX35" s="8"/>
      <c r="BZY35" s="8"/>
      <c r="BZZ35" s="8"/>
      <c r="CAA35" s="8"/>
      <c r="CAB35" s="8"/>
      <c r="CAC35" s="8"/>
      <c r="CAD35" s="8"/>
      <c r="CAE35" s="8"/>
      <c r="CAF35" s="8"/>
      <c r="CAG35" s="8"/>
      <c r="CAH35" s="8"/>
      <c r="CAI35" s="8"/>
      <c r="CAJ35" s="8"/>
      <c r="CAK35" s="8"/>
      <c r="CAL35" s="8"/>
      <c r="CAM35" s="8"/>
      <c r="CAN35" s="8"/>
      <c r="CAO35" s="8"/>
      <c r="CAP35" s="8"/>
      <c r="CAQ35" s="8"/>
      <c r="CAR35" s="8"/>
      <c r="CAS35" s="8"/>
      <c r="CAT35" s="8"/>
      <c r="CAU35" s="8"/>
      <c r="CAV35" s="8"/>
      <c r="CAW35" s="8"/>
      <c r="CAX35" s="8"/>
      <c r="CAY35" s="8"/>
      <c r="CAZ35" s="8"/>
      <c r="CBA35" s="8"/>
      <c r="CBB35" s="8"/>
      <c r="CBC35" s="8"/>
      <c r="CBD35" s="8"/>
      <c r="CBE35" s="8"/>
      <c r="CBF35" s="8"/>
      <c r="CBG35" s="8"/>
      <c r="CBH35" s="8"/>
      <c r="CBI35" s="8"/>
      <c r="CBJ35" s="8"/>
      <c r="CBK35" s="8"/>
      <c r="CBL35" s="8"/>
      <c r="CBM35" s="8"/>
      <c r="CBN35" s="8"/>
      <c r="CBO35" s="8"/>
      <c r="CBP35" s="8"/>
      <c r="CBQ35" s="8"/>
      <c r="CBR35" s="8"/>
      <c r="CBS35" s="8"/>
      <c r="CBT35" s="8"/>
      <c r="CBU35" s="8"/>
      <c r="CBV35" s="8"/>
      <c r="CBW35" s="8"/>
      <c r="CBX35" s="8"/>
      <c r="CBY35" s="8"/>
      <c r="CBZ35" s="8"/>
      <c r="CCA35" s="8"/>
      <c r="CCB35" s="8"/>
      <c r="CCC35" s="8"/>
      <c r="CCD35" s="8"/>
      <c r="CCE35" s="8"/>
      <c r="CCF35" s="8"/>
      <c r="CCG35" s="8"/>
      <c r="CCH35" s="8"/>
      <c r="CCI35" s="8"/>
      <c r="CCJ35" s="8"/>
      <c r="CCK35" s="8"/>
      <c r="CCL35" s="9"/>
      <c r="CCM35" s="3"/>
      <c r="CCN35" s="3"/>
      <c r="CCO35" s="3"/>
      <c r="CCP35" s="3"/>
      <c r="CCQ35" s="3"/>
      <c r="CCR35" s="3"/>
      <c r="CCS35" s="3"/>
      <c r="CCT35" s="3"/>
      <c r="CCU35" s="3"/>
      <c r="CCV35" s="3"/>
      <c r="CCW35" s="3"/>
      <c r="CCX35" s="3"/>
      <c r="CCY35" s="3"/>
      <c r="CCZ35" s="3"/>
      <c r="CDA35" s="3"/>
      <c r="CDB35" s="3"/>
      <c r="CDC35" s="3"/>
      <c r="CDD35" s="3"/>
      <c r="CDE35" s="3"/>
      <c r="CDF35" s="3"/>
      <c r="CDG35" s="3"/>
      <c r="CDH35" s="3"/>
      <c r="CDI35" s="3"/>
      <c r="CDJ35" s="3"/>
      <c r="CDK35" s="3"/>
      <c r="CDL35" s="3"/>
      <c r="CDM35" s="3"/>
      <c r="CDN35" s="3"/>
      <c r="CDO35" s="3"/>
      <c r="CDP35" s="3"/>
      <c r="CDQ35" s="3"/>
      <c r="CDR35" s="3"/>
      <c r="CDS35" s="3"/>
      <c r="CDT35" s="3"/>
      <c r="CDU35" s="3"/>
      <c r="CDV35" s="3"/>
      <c r="CDW35" s="3"/>
      <c r="CDX35" s="3"/>
      <c r="CDY35" s="3"/>
      <c r="CDZ35" s="3"/>
      <c r="CEA35" s="3"/>
      <c r="CEB35" s="3"/>
      <c r="CEC35" s="3"/>
      <c r="CED35" s="3"/>
      <c r="CEE35" s="3"/>
      <c r="CEF35" s="3"/>
      <c r="CEG35" s="3"/>
      <c r="CEH35" s="3"/>
      <c r="CEI35" s="3"/>
      <c r="CEJ35" s="3"/>
      <c r="CEK35" s="3"/>
      <c r="CEL35" s="3"/>
      <c r="CEM35" s="3"/>
      <c r="CEN35" s="3"/>
      <c r="CEO35" s="3"/>
      <c r="CEP35" s="3"/>
      <c r="CEQ35" s="3"/>
      <c r="CER35" s="3"/>
      <c r="CES35" s="3"/>
      <c r="CET35" s="3"/>
      <c r="CEU35" s="3"/>
      <c r="CEV35" s="3"/>
      <c r="CEW35" s="3"/>
      <c r="CEX35" s="3"/>
      <c r="CEY35" s="3"/>
      <c r="CEZ35" s="3"/>
      <c r="CFA35" s="3"/>
      <c r="CFB35" s="3"/>
      <c r="CFC35" s="3"/>
      <c r="CFD35" s="3"/>
      <c r="CFE35" s="3"/>
      <c r="CFF35" s="3"/>
      <c r="CFG35" s="3"/>
      <c r="CFH35" s="3"/>
      <c r="CFI35" s="3"/>
      <c r="CFJ35" s="3"/>
      <c r="CFK35" s="3"/>
      <c r="CFL35" s="3"/>
      <c r="CFM35" s="3"/>
      <c r="CFN35" s="3"/>
      <c r="CFO35" s="3"/>
      <c r="CFP35" s="3"/>
      <c r="CFQ35" s="3"/>
      <c r="CFR35" s="3"/>
      <c r="CFS35" s="3"/>
      <c r="CFT35" s="3"/>
      <c r="CFU35" s="3"/>
      <c r="CFV35" s="3"/>
      <c r="CFW35" s="3"/>
      <c r="CFX35" s="3"/>
      <c r="CFY35" s="3"/>
      <c r="CFZ35" s="3"/>
      <c r="CGA35" s="3"/>
      <c r="CGB35" s="3"/>
      <c r="CGC35" s="3"/>
      <c r="CGD35" s="3"/>
      <c r="CGE35" s="3"/>
      <c r="CGF35" s="3"/>
      <c r="CGG35" s="3"/>
      <c r="CGH35" s="3"/>
      <c r="CGI35" s="3"/>
      <c r="CGJ35" s="3"/>
      <c r="CGK35" s="3"/>
      <c r="CGL35" s="3"/>
      <c r="CGM35" s="3"/>
      <c r="CGN35" s="3"/>
    </row>
    <row r="36" spans="1:2224" s="3" customFormat="1" ht="24.75" customHeight="1" x14ac:dyDescent="0.25">
      <c r="A36" s="13" t="s">
        <v>107</v>
      </c>
      <c r="B36" s="82" t="s">
        <v>6</v>
      </c>
      <c r="C36" s="41" t="s">
        <v>22</v>
      </c>
      <c r="D36" s="39" t="s">
        <v>53</v>
      </c>
      <c r="E36" s="41">
        <v>40000</v>
      </c>
      <c r="F36" s="41">
        <v>43000</v>
      </c>
      <c r="G36" s="41">
        <v>1962</v>
      </c>
      <c r="H36" s="41">
        <v>409</v>
      </c>
      <c r="I36" s="41">
        <v>409</v>
      </c>
      <c r="J36" s="41">
        <v>124</v>
      </c>
      <c r="K36" s="44">
        <f>J36/H36</f>
        <v>0.30317848410757947</v>
      </c>
      <c r="L36" s="45">
        <v>641545</v>
      </c>
    </row>
    <row r="37" spans="1:2224" s="3" customFormat="1" ht="32.25" customHeight="1" x14ac:dyDescent="0.25">
      <c r="A37" s="13" t="s">
        <v>107</v>
      </c>
      <c r="B37" s="82" t="s">
        <v>6</v>
      </c>
      <c r="C37" s="41" t="s">
        <v>23</v>
      </c>
      <c r="D37" s="39" t="s">
        <v>54</v>
      </c>
      <c r="E37" s="41">
        <v>116000</v>
      </c>
      <c r="F37" s="41"/>
      <c r="G37" s="41">
        <v>1989</v>
      </c>
      <c r="H37" s="41">
        <v>3145</v>
      </c>
      <c r="I37" s="41">
        <v>3145</v>
      </c>
      <c r="J37" s="41">
        <v>120</v>
      </c>
      <c r="K37" s="44">
        <f>J37/H37</f>
        <v>3.8155802861685212E-2</v>
      </c>
      <c r="L37" s="45">
        <v>751925</v>
      </c>
    </row>
    <row r="38" spans="1:2224" s="3" customFormat="1" ht="24.75" customHeight="1" x14ac:dyDescent="0.25">
      <c r="A38" s="13" t="s">
        <v>107</v>
      </c>
      <c r="B38" s="82" t="s">
        <v>7</v>
      </c>
      <c r="C38" s="41" t="s">
        <v>83</v>
      </c>
      <c r="D38" s="39" t="s">
        <v>47</v>
      </c>
      <c r="E38" s="41"/>
      <c r="F38" s="41"/>
      <c r="G38" s="41"/>
      <c r="H38" s="41">
        <v>174</v>
      </c>
      <c r="I38" s="16">
        <v>0</v>
      </c>
      <c r="J38" s="51"/>
      <c r="K38" s="52" t="s">
        <v>84</v>
      </c>
      <c r="L38" s="52"/>
    </row>
    <row r="39" spans="1:2224" s="3" customFormat="1" ht="24.75" customHeight="1" x14ac:dyDescent="0.25">
      <c r="A39" s="13" t="s">
        <v>107</v>
      </c>
      <c r="B39" s="82" t="s">
        <v>8</v>
      </c>
      <c r="C39" s="41" t="s">
        <v>24</v>
      </c>
      <c r="D39" s="39" t="s">
        <v>55</v>
      </c>
      <c r="E39" s="42">
        <v>4500</v>
      </c>
      <c r="F39" s="42">
        <v>7000</v>
      </c>
      <c r="G39" s="41">
        <v>1982</v>
      </c>
      <c r="H39" s="41">
        <v>280</v>
      </c>
      <c r="I39" s="41">
        <v>363</v>
      </c>
      <c r="J39" s="41">
        <v>155</v>
      </c>
      <c r="K39" s="44">
        <f>J39/H39</f>
        <v>0.5535714285714286</v>
      </c>
      <c r="L39" s="45">
        <v>400000</v>
      </c>
    </row>
    <row r="40" spans="1:2224" s="3" customFormat="1" ht="24.75" customHeight="1" x14ac:dyDescent="0.25">
      <c r="A40" s="13" t="s">
        <v>107</v>
      </c>
      <c r="B40" s="82" t="s">
        <v>8</v>
      </c>
      <c r="C40" s="41" t="s">
        <v>25</v>
      </c>
      <c r="D40" s="40"/>
      <c r="E40" s="42">
        <v>18000</v>
      </c>
      <c r="F40" s="42">
        <v>25000</v>
      </c>
      <c r="G40" s="41">
        <v>2003</v>
      </c>
      <c r="H40" s="41">
        <v>83</v>
      </c>
      <c r="I40" s="42"/>
      <c r="J40" s="41">
        <v>20</v>
      </c>
      <c r="K40" s="44">
        <f>J40/H40</f>
        <v>0.24096385542168675</v>
      </c>
      <c r="L40" s="46"/>
    </row>
    <row r="41" spans="1:2224" s="3" customFormat="1" ht="24.75" customHeight="1" x14ac:dyDescent="0.25">
      <c r="A41" s="13" t="s">
        <v>107</v>
      </c>
      <c r="B41" s="82" t="s">
        <v>8</v>
      </c>
      <c r="C41" s="41" t="s">
        <v>26</v>
      </c>
      <c r="D41" s="39" t="s">
        <v>56</v>
      </c>
      <c r="E41" s="41">
        <v>18000</v>
      </c>
      <c r="F41" s="41">
        <v>25000</v>
      </c>
      <c r="G41" s="22">
        <v>2002</v>
      </c>
      <c r="H41" s="22">
        <v>50</v>
      </c>
      <c r="I41" s="41">
        <v>195</v>
      </c>
      <c r="J41" s="41">
        <v>48</v>
      </c>
      <c r="K41" s="44">
        <f>J41/H41</f>
        <v>0.96</v>
      </c>
      <c r="L41" s="45">
        <v>150000</v>
      </c>
    </row>
    <row r="42" spans="1:2224" s="3" customFormat="1" ht="24.75" customHeight="1" x14ac:dyDescent="0.25">
      <c r="A42" s="13" t="s">
        <v>107</v>
      </c>
      <c r="B42" s="82" t="s">
        <v>8</v>
      </c>
      <c r="C42" s="41" t="s">
        <v>27</v>
      </c>
      <c r="D42" s="40"/>
      <c r="E42" s="42"/>
      <c r="F42" s="42"/>
      <c r="G42" s="22">
        <v>1982</v>
      </c>
      <c r="H42" s="22">
        <v>70</v>
      </c>
      <c r="I42" s="42"/>
      <c r="J42" s="41">
        <v>10</v>
      </c>
      <c r="K42" s="44">
        <f t="shared" ref="K42:K43" si="3">J42/H42</f>
        <v>0.14285714285714285</v>
      </c>
      <c r="L42" s="46"/>
    </row>
    <row r="43" spans="1:2224" s="3" customFormat="1" ht="24.75" customHeight="1" x14ac:dyDescent="0.25">
      <c r="A43" s="13" t="s">
        <v>107</v>
      </c>
      <c r="B43" s="82" t="s">
        <v>8</v>
      </c>
      <c r="C43" s="22" t="s">
        <v>85</v>
      </c>
      <c r="D43" s="40"/>
      <c r="E43" s="42"/>
      <c r="F43" s="42"/>
      <c r="G43" s="22">
        <v>2002</v>
      </c>
      <c r="H43" s="22">
        <v>75</v>
      </c>
      <c r="I43" s="42"/>
      <c r="J43" s="42">
        <v>45</v>
      </c>
      <c r="K43" s="44">
        <f t="shared" si="3"/>
        <v>0.6</v>
      </c>
      <c r="L43" s="46"/>
    </row>
    <row r="44" spans="1:2224" s="3" customFormat="1" ht="24.75" customHeight="1" x14ac:dyDescent="0.25">
      <c r="A44" s="13" t="s">
        <v>107</v>
      </c>
      <c r="B44" s="82" t="s">
        <v>8</v>
      </c>
      <c r="C44" s="41" t="s">
        <v>28</v>
      </c>
      <c r="D44" s="39" t="s">
        <v>28</v>
      </c>
      <c r="E44" s="22">
        <v>7500</v>
      </c>
      <c r="F44" s="22">
        <v>7500</v>
      </c>
      <c r="G44" s="42">
        <v>2002</v>
      </c>
      <c r="H44" s="41">
        <v>45</v>
      </c>
      <c r="I44" s="41">
        <v>45</v>
      </c>
      <c r="J44" s="41">
        <v>33</v>
      </c>
      <c r="K44" s="44">
        <f>J44/H44</f>
        <v>0.73333333333333328</v>
      </c>
      <c r="L44" s="45">
        <v>165000</v>
      </c>
    </row>
    <row r="45" spans="1:2224" s="3" customFormat="1" ht="24.75" customHeight="1" x14ac:dyDescent="0.25">
      <c r="A45" s="13" t="s">
        <v>107</v>
      </c>
      <c r="B45" s="82" t="s">
        <v>9</v>
      </c>
      <c r="C45" s="41" t="s">
        <v>29</v>
      </c>
      <c r="D45" s="39" t="s">
        <v>57</v>
      </c>
      <c r="E45" s="41">
        <v>2500</v>
      </c>
      <c r="F45" s="41">
        <v>3000</v>
      </c>
      <c r="G45" s="41">
        <v>2014</v>
      </c>
      <c r="H45" s="41">
        <v>60</v>
      </c>
      <c r="I45" s="41">
        <v>60</v>
      </c>
      <c r="J45" s="41">
        <v>60</v>
      </c>
      <c r="K45" s="44">
        <f>J45/H45</f>
        <v>1</v>
      </c>
      <c r="L45" s="45">
        <v>40000</v>
      </c>
    </row>
    <row r="46" spans="1:2224" s="3" customFormat="1" ht="24.75" customHeight="1" x14ac:dyDescent="0.25">
      <c r="A46" s="13" t="s">
        <v>107</v>
      </c>
      <c r="B46" s="82" t="s">
        <v>9</v>
      </c>
      <c r="C46" s="35" t="s">
        <v>86</v>
      </c>
      <c r="D46" s="36" t="s">
        <v>86</v>
      </c>
      <c r="E46" s="35"/>
      <c r="F46" s="35"/>
      <c r="G46" s="35">
        <v>2016</v>
      </c>
      <c r="H46" s="35">
        <v>60</v>
      </c>
      <c r="I46" s="35">
        <v>60</v>
      </c>
      <c r="J46" s="20" t="s">
        <v>87</v>
      </c>
      <c r="K46" s="18"/>
      <c r="L46" s="19"/>
    </row>
    <row r="47" spans="1:2224" s="3" customFormat="1" ht="24.75" customHeight="1" x14ac:dyDescent="0.25">
      <c r="A47" s="13" t="s">
        <v>107</v>
      </c>
      <c r="B47" s="82" t="s">
        <v>10</v>
      </c>
      <c r="C47" s="22" t="s">
        <v>88</v>
      </c>
      <c r="D47" s="21" t="s">
        <v>59</v>
      </c>
      <c r="E47" s="22"/>
      <c r="F47" s="22"/>
      <c r="G47" s="22"/>
      <c r="H47" s="22">
        <v>354</v>
      </c>
      <c r="I47" s="22">
        <v>0</v>
      </c>
      <c r="J47" s="22"/>
      <c r="K47" s="22"/>
      <c r="L47" s="23"/>
    </row>
    <row r="48" spans="1:2224" s="3" customFormat="1" ht="39" customHeight="1" x14ac:dyDescent="0.25">
      <c r="A48" s="13" t="s">
        <v>107</v>
      </c>
      <c r="B48" s="82" t="s">
        <v>10</v>
      </c>
      <c r="C48" s="22" t="s">
        <v>90</v>
      </c>
      <c r="D48" s="21" t="s">
        <v>89</v>
      </c>
      <c r="E48" s="22"/>
      <c r="F48" s="22"/>
      <c r="G48" s="22"/>
      <c r="H48" s="22">
        <v>100</v>
      </c>
      <c r="I48" s="22"/>
      <c r="J48" s="22"/>
      <c r="K48" s="22"/>
      <c r="L48" s="23"/>
    </row>
    <row r="49" spans="1:12" s="3" customFormat="1" ht="39" customHeight="1" x14ac:dyDescent="0.25">
      <c r="A49" s="13" t="s">
        <v>107</v>
      </c>
      <c r="B49" s="82" t="s">
        <v>10</v>
      </c>
      <c r="C49" s="22" t="s">
        <v>91</v>
      </c>
      <c r="D49" s="21" t="s">
        <v>91</v>
      </c>
      <c r="E49" s="22"/>
      <c r="F49" s="22"/>
      <c r="G49" s="22">
        <v>2023</v>
      </c>
      <c r="H49" s="22">
        <v>60</v>
      </c>
      <c r="I49" s="22">
        <v>60</v>
      </c>
      <c r="J49" s="22">
        <v>60</v>
      </c>
      <c r="K49" s="24">
        <f>J49/H49</f>
        <v>1</v>
      </c>
      <c r="L49" s="23">
        <v>25000</v>
      </c>
    </row>
    <row r="50" spans="1:12" s="3" customFormat="1" ht="26.25" customHeight="1" x14ac:dyDescent="0.25">
      <c r="A50" s="13" t="s">
        <v>107</v>
      </c>
      <c r="B50" s="82" t="s">
        <v>11</v>
      </c>
      <c r="C50" s="42" t="s">
        <v>31</v>
      </c>
      <c r="D50" s="40" t="s">
        <v>60</v>
      </c>
      <c r="E50" s="42"/>
      <c r="F50" s="42"/>
      <c r="G50" s="42"/>
      <c r="H50" s="42">
        <v>180</v>
      </c>
      <c r="I50" s="42">
        <v>0</v>
      </c>
      <c r="J50" s="42"/>
      <c r="K50" s="42"/>
      <c r="L50" s="46"/>
    </row>
    <row r="51" spans="1:12" s="3" customFormat="1" ht="26.25" customHeight="1" x14ac:dyDescent="0.25">
      <c r="A51" s="13" t="s">
        <v>107</v>
      </c>
      <c r="B51" s="82" t="s">
        <v>12</v>
      </c>
      <c r="C51" s="41" t="s">
        <v>32</v>
      </c>
      <c r="D51" s="25" t="s">
        <v>32</v>
      </c>
      <c r="E51" s="41">
        <v>3334</v>
      </c>
      <c r="F51" s="41">
        <v>3655</v>
      </c>
      <c r="G51" s="41">
        <v>2006</v>
      </c>
      <c r="H51" s="41">
        <v>87</v>
      </c>
      <c r="I51" s="41">
        <v>87</v>
      </c>
      <c r="J51" s="41">
        <v>76</v>
      </c>
      <c r="K51" s="44">
        <f t="shared" ref="K51:K56" si="4">J51/H51</f>
        <v>0.87356321839080464</v>
      </c>
      <c r="L51" s="45">
        <v>293060</v>
      </c>
    </row>
    <row r="52" spans="1:12" s="3" customFormat="1" ht="26.25" customHeight="1" x14ac:dyDescent="0.25">
      <c r="A52" s="13" t="s">
        <v>107</v>
      </c>
      <c r="B52" s="57" t="s">
        <v>92</v>
      </c>
      <c r="C52" s="41"/>
      <c r="D52" s="41"/>
      <c r="E52" s="41"/>
      <c r="F52" s="41"/>
      <c r="G52" s="41"/>
      <c r="H52" s="41">
        <f>H51+H50+H49+H48+H47+H46+H45+H44+H43+H42+H41+H40+H39+H38+H37+H36</f>
        <v>5232</v>
      </c>
      <c r="I52" s="41">
        <f>I51+I50+I49+I48+I47+I46+I45+I44+I41+I39+I38+I37+I36</f>
        <v>4424</v>
      </c>
      <c r="J52" s="41">
        <f>J51+J49+J45+J44+J43+J42+J41+J40+J39+J37+J36</f>
        <v>751</v>
      </c>
      <c r="K52" s="41">
        <f t="shared" si="4"/>
        <v>0.14353975535168195</v>
      </c>
      <c r="L52" s="41">
        <f>L51+L50+L49+L48+L47+L45+L44+L41+L39+L37+L36</f>
        <v>2466530</v>
      </c>
    </row>
    <row r="53" spans="1:12" s="3" customFormat="1" ht="26.25" customHeight="1" x14ac:dyDescent="0.25">
      <c r="A53" s="13" t="s">
        <v>107</v>
      </c>
      <c r="B53" s="72" t="s">
        <v>13</v>
      </c>
      <c r="C53" s="41" t="s">
        <v>33</v>
      </c>
      <c r="D53" s="25" t="s">
        <v>61</v>
      </c>
      <c r="E53" s="41">
        <v>10000</v>
      </c>
      <c r="F53" s="41">
        <v>17800</v>
      </c>
      <c r="G53" s="41">
        <v>1987</v>
      </c>
      <c r="H53" s="41">
        <v>257</v>
      </c>
      <c r="I53" s="41">
        <v>257</v>
      </c>
      <c r="J53" s="41">
        <v>257</v>
      </c>
      <c r="K53" s="44">
        <f t="shared" si="4"/>
        <v>1</v>
      </c>
      <c r="L53" s="45">
        <v>658480</v>
      </c>
    </row>
    <row r="54" spans="1:12" s="3" customFormat="1" ht="26.25" customHeight="1" x14ac:dyDescent="0.25">
      <c r="A54" s="13" t="s">
        <v>107</v>
      </c>
      <c r="B54" s="72" t="s">
        <v>13</v>
      </c>
      <c r="C54" s="41" t="s">
        <v>34</v>
      </c>
      <c r="D54" s="25" t="s">
        <v>93</v>
      </c>
      <c r="E54" s="41">
        <v>10000</v>
      </c>
      <c r="F54" s="41">
        <v>7850</v>
      </c>
      <c r="G54" s="41">
        <v>2003</v>
      </c>
      <c r="H54" s="41">
        <v>185</v>
      </c>
      <c r="I54" s="41">
        <v>185</v>
      </c>
      <c r="J54" s="41">
        <v>185</v>
      </c>
      <c r="K54" s="44">
        <f t="shared" si="4"/>
        <v>1</v>
      </c>
      <c r="L54" s="45">
        <v>249000</v>
      </c>
    </row>
    <row r="55" spans="1:12" s="3" customFormat="1" ht="26.25" customHeight="1" x14ac:dyDescent="0.25">
      <c r="A55" s="13" t="s">
        <v>107</v>
      </c>
      <c r="B55" s="72" t="s">
        <v>13</v>
      </c>
      <c r="C55" s="42" t="s">
        <v>61</v>
      </c>
      <c r="D55" s="37" t="s">
        <v>94</v>
      </c>
      <c r="E55" s="42"/>
      <c r="F55" s="42"/>
      <c r="G55" s="42">
        <v>2022</v>
      </c>
      <c r="H55" s="41">
        <v>200</v>
      </c>
      <c r="I55" s="41">
        <v>200</v>
      </c>
      <c r="J55" s="41">
        <v>200</v>
      </c>
      <c r="K55" s="44">
        <f t="shared" si="4"/>
        <v>1</v>
      </c>
      <c r="L55" s="45">
        <v>129980</v>
      </c>
    </row>
    <row r="56" spans="1:12" s="3" customFormat="1" ht="26.25" customHeight="1" x14ac:dyDescent="0.25">
      <c r="A56" s="13" t="s">
        <v>107</v>
      </c>
      <c r="B56" s="72" t="s">
        <v>14</v>
      </c>
      <c r="C56" s="41" t="s">
        <v>35</v>
      </c>
      <c r="D56" s="39" t="s">
        <v>35</v>
      </c>
      <c r="E56" s="42">
        <v>1000</v>
      </c>
      <c r="F56" s="42">
        <v>1000</v>
      </c>
      <c r="G56" s="42">
        <v>1997</v>
      </c>
      <c r="H56" s="41">
        <v>50</v>
      </c>
      <c r="I56" s="41">
        <v>50</v>
      </c>
      <c r="J56" s="41">
        <v>70</v>
      </c>
      <c r="K56" s="44">
        <f t="shared" si="4"/>
        <v>1.4</v>
      </c>
      <c r="L56" s="45">
        <v>280000</v>
      </c>
    </row>
    <row r="57" spans="1:12" s="3" customFormat="1" ht="26.25" customHeight="1" x14ac:dyDescent="0.25">
      <c r="A57" s="13" t="s">
        <v>107</v>
      </c>
      <c r="B57" s="72" t="s">
        <v>14</v>
      </c>
      <c r="C57" s="41" t="s">
        <v>96</v>
      </c>
      <c r="D57" s="39" t="s">
        <v>95</v>
      </c>
      <c r="E57" s="41"/>
      <c r="F57" s="41"/>
      <c r="G57" s="41"/>
      <c r="H57" s="41">
        <v>50</v>
      </c>
      <c r="I57" s="41">
        <v>0</v>
      </c>
      <c r="J57" s="26" t="s">
        <v>70</v>
      </c>
      <c r="K57" s="27"/>
      <c r="L57" s="102"/>
    </row>
    <row r="58" spans="1:12" s="3" customFormat="1" ht="26.25" customHeight="1" x14ac:dyDescent="0.25">
      <c r="A58" s="13" t="s">
        <v>107</v>
      </c>
      <c r="B58" s="72" t="s">
        <v>14</v>
      </c>
      <c r="C58" s="22" t="s">
        <v>97</v>
      </c>
      <c r="D58" s="28" t="s">
        <v>97</v>
      </c>
      <c r="E58" s="22"/>
      <c r="F58" s="22"/>
      <c r="G58" s="22">
        <v>2022</v>
      </c>
      <c r="H58" s="22">
        <v>14</v>
      </c>
      <c r="I58" s="22">
        <v>14</v>
      </c>
      <c r="J58" s="41">
        <v>10</v>
      </c>
      <c r="K58" s="44">
        <f>J58/H58</f>
        <v>0.7142857142857143</v>
      </c>
      <c r="L58" s="41">
        <v>2500</v>
      </c>
    </row>
    <row r="59" spans="1:12" s="3" customFormat="1" ht="26.25" customHeight="1" x14ac:dyDescent="0.25">
      <c r="A59" s="13" t="s">
        <v>107</v>
      </c>
      <c r="B59" s="72" t="s">
        <v>108</v>
      </c>
      <c r="C59" s="42" t="s">
        <v>75</v>
      </c>
      <c r="D59" s="37" t="s">
        <v>74</v>
      </c>
      <c r="E59" s="42"/>
      <c r="F59" s="42"/>
      <c r="G59" s="42">
        <v>2022</v>
      </c>
      <c r="H59" s="42">
        <v>36</v>
      </c>
      <c r="I59" s="42">
        <v>36</v>
      </c>
      <c r="J59" s="41">
        <v>36</v>
      </c>
      <c r="K59" s="44">
        <f>J59/H59</f>
        <v>1</v>
      </c>
      <c r="L59" s="41">
        <v>79550</v>
      </c>
    </row>
    <row r="60" spans="1:12" s="3" customFormat="1" ht="26.25" customHeight="1" x14ac:dyDescent="0.25">
      <c r="A60" s="13" t="s">
        <v>107</v>
      </c>
      <c r="B60" s="72" t="s">
        <v>15</v>
      </c>
      <c r="C60" s="41" t="s">
        <v>36</v>
      </c>
      <c r="D60" s="39" t="s">
        <v>63</v>
      </c>
      <c r="E60" s="42">
        <v>15000</v>
      </c>
      <c r="F60" s="42">
        <v>20000</v>
      </c>
      <c r="G60" s="42">
        <v>1983</v>
      </c>
      <c r="H60" s="41">
        <v>380</v>
      </c>
      <c r="I60" s="41">
        <v>380</v>
      </c>
      <c r="J60" s="41">
        <v>270</v>
      </c>
      <c r="K60" s="44">
        <f>J60/H60</f>
        <v>0.71052631578947367</v>
      </c>
      <c r="L60" s="48">
        <v>1146182</v>
      </c>
    </row>
    <row r="61" spans="1:12" s="3" customFormat="1" ht="26.25" customHeight="1" x14ac:dyDescent="0.25">
      <c r="A61" s="13" t="s">
        <v>107</v>
      </c>
      <c r="B61" s="94" t="s">
        <v>16</v>
      </c>
      <c r="C61" s="60" t="s">
        <v>37</v>
      </c>
      <c r="D61" s="95" t="s">
        <v>64</v>
      </c>
      <c r="E61" s="97">
        <v>4300</v>
      </c>
      <c r="F61" s="97">
        <v>15000</v>
      </c>
      <c r="G61" s="97">
        <v>1998</v>
      </c>
      <c r="H61" s="97">
        <v>131</v>
      </c>
      <c r="I61" s="97">
        <v>131</v>
      </c>
      <c r="J61" s="97">
        <v>131</v>
      </c>
      <c r="K61" s="98">
        <f>J61/H61</f>
        <v>1</v>
      </c>
      <c r="L61" s="99">
        <v>267624</v>
      </c>
    </row>
    <row r="62" spans="1:12" s="3" customFormat="1" ht="26.25" customHeight="1" x14ac:dyDescent="0.25">
      <c r="A62" s="13" t="s">
        <v>107</v>
      </c>
      <c r="B62" s="94" t="s">
        <v>16</v>
      </c>
      <c r="C62" s="60" t="s">
        <v>38</v>
      </c>
      <c r="D62" s="59" t="s">
        <v>38</v>
      </c>
      <c r="E62" s="58"/>
      <c r="F62" s="58"/>
      <c r="G62" s="58">
        <v>2009</v>
      </c>
      <c r="H62" s="96" t="s">
        <v>87</v>
      </c>
      <c r="I62" s="96"/>
      <c r="J62" s="96"/>
      <c r="K62" s="96"/>
      <c r="L62" s="96"/>
    </row>
    <row r="63" spans="1:12" s="3" customFormat="1" ht="26.25" customHeight="1" x14ac:dyDescent="0.25">
      <c r="A63" s="13" t="s">
        <v>107</v>
      </c>
      <c r="B63" s="73" t="s">
        <v>109</v>
      </c>
      <c r="C63" s="22" t="s">
        <v>99</v>
      </c>
      <c r="D63" s="21" t="s">
        <v>99</v>
      </c>
      <c r="E63" s="22"/>
      <c r="F63" s="22"/>
      <c r="G63" s="22">
        <v>2022</v>
      </c>
      <c r="H63" s="22">
        <v>12</v>
      </c>
      <c r="I63" s="28">
        <v>12</v>
      </c>
      <c r="J63" s="22">
        <v>0</v>
      </c>
      <c r="K63" s="22"/>
      <c r="L63" s="28"/>
    </row>
    <row r="64" spans="1:12" s="3" customFormat="1" ht="19.5" customHeight="1" x14ac:dyDescent="0.25">
      <c r="A64" s="13" t="s">
        <v>107</v>
      </c>
      <c r="B64" s="74" t="s">
        <v>100</v>
      </c>
      <c r="C64" s="58"/>
      <c r="D64" s="59"/>
      <c r="E64" s="58"/>
      <c r="F64" s="58"/>
      <c r="G64" s="58"/>
      <c r="H64" s="60">
        <f>H63+H61+H60+H59+H58+H57+H56+H55+H54+H53</f>
        <v>1315</v>
      </c>
      <c r="I64" s="60">
        <f>I63+I61+I60+I59+I58+I57+I56+I55+I54+I53</f>
        <v>1265</v>
      </c>
      <c r="J64" s="60">
        <f>J61+J60+J59+J58+J56+J55+J54+J53</f>
        <v>1159</v>
      </c>
      <c r="K64" s="61">
        <f t="shared" ref="K64:K69" si="5">J64/H64</f>
        <v>0.88136882129277572</v>
      </c>
      <c r="L64" s="62">
        <f>L61+L60+L59+L58+L56+L55+L54+L53</f>
        <v>2813316</v>
      </c>
    </row>
    <row r="65" spans="1:14" s="3" customFormat="1" ht="19.5" customHeight="1" x14ac:dyDescent="0.25">
      <c r="A65" s="13" t="s">
        <v>107</v>
      </c>
      <c r="B65" s="72" t="s">
        <v>17</v>
      </c>
      <c r="C65" s="41" t="s">
        <v>39</v>
      </c>
      <c r="D65" s="25" t="s">
        <v>101</v>
      </c>
      <c r="E65" s="22">
        <v>40400</v>
      </c>
      <c r="F65" s="22">
        <v>49500</v>
      </c>
      <c r="G65" s="22">
        <v>1987</v>
      </c>
      <c r="H65" s="41">
        <v>452</v>
      </c>
      <c r="I65" s="41">
        <v>452</v>
      </c>
      <c r="J65" s="41">
        <v>113</v>
      </c>
      <c r="K65" s="44">
        <f t="shared" si="5"/>
        <v>0.25</v>
      </c>
      <c r="L65" s="45">
        <v>654000</v>
      </c>
    </row>
    <row r="66" spans="1:14" s="3" customFormat="1" ht="19.5" customHeight="1" x14ac:dyDescent="0.25">
      <c r="A66" s="13" t="s">
        <v>107</v>
      </c>
      <c r="B66" s="72" t="s">
        <v>17</v>
      </c>
      <c r="C66" s="41" t="s">
        <v>40</v>
      </c>
      <c r="D66" s="25" t="s">
        <v>40</v>
      </c>
      <c r="E66" s="22">
        <v>700</v>
      </c>
      <c r="F66" s="22"/>
      <c r="G66" s="22">
        <v>2009</v>
      </c>
      <c r="H66" s="41">
        <v>60</v>
      </c>
      <c r="I66" s="41">
        <v>60</v>
      </c>
      <c r="J66" s="41">
        <v>50</v>
      </c>
      <c r="K66" s="44">
        <f t="shared" si="5"/>
        <v>0.83333333333333337</v>
      </c>
      <c r="L66" s="45">
        <v>40000</v>
      </c>
      <c r="N66" s="56"/>
    </row>
    <row r="67" spans="1:14" s="3" customFormat="1" ht="19.5" customHeight="1" x14ac:dyDescent="0.25">
      <c r="A67" s="13" t="s">
        <v>107</v>
      </c>
      <c r="B67" s="72" t="s">
        <v>18</v>
      </c>
      <c r="C67" s="41" t="s">
        <v>41</v>
      </c>
      <c r="D67" s="25" t="s">
        <v>41</v>
      </c>
      <c r="E67" s="22">
        <v>10000</v>
      </c>
      <c r="F67" s="22">
        <v>14000</v>
      </c>
      <c r="G67" s="22">
        <v>1994</v>
      </c>
      <c r="H67" s="41">
        <v>117</v>
      </c>
      <c r="I67" s="41">
        <v>117</v>
      </c>
      <c r="J67" s="41">
        <v>137</v>
      </c>
      <c r="K67" s="44">
        <f t="shared" si="5"/>
        <v>1.170940170940171</v>
      </c>
      <c r="L67" s="45">
        <v>1576800</v>
      </c>
      <c r="N67" s="56"/>
    </row>
    <row r="68" spans="1:14" s="3" customFormat="1" ht="19.5" customHeight="1" x14ac:dyDescent="0.25">
      <c r="A68" s="13" t="s">
        <v>107</v>
      </c>
      <c r="B68" s="72" t="s">
        <v>19</v>
      </c>
      <c r="C68" s="41" t="s">
        <v>42</v>
      </c>
      <c r="D68" s="25" t="s">
        <v>42</v>
      </c>
      <c r="E68" s="22">
        <v>5000</v>
      </c>
      <c r="F68" s="22">
        <v>4060</v>
      </c>
      <c r="G68" s="22">
        <v>2006</v>
      </c>
      <c r="H68" s="41">
        <v>100</v>
      </c>
      <c r="I68" s="41">
        <v>100</v>
      </c>
      <c r="J68" s="41">
        <v>62</v>
      </c>
      <c r="K68" s="44">
        <f t="shared" si="5"/>
        <v>0.62</v>
      </c>
      <c r="L68" s="45">
        <v>235872</v>
      </c>
      <c r="N68" s="56"/>
    </row>
    <row r="69" spans="1:14" s="3" customFormat="1" ht="19.5" customHeight="1" x14ac:dyDescent="0.25">
      <c r="A69" s="13" t="s">
        <v>107</v>
      </c>
      <c r="B69" s="72" t="s">
        <v>19</v>
      </c>
      <c r="C69" s="41" t="s">
        <v>43</v>
      </c>
      <c r="D69" s="25" t="s">
        <v>66</v>
      </c>
      <c r="E69" s="22">
        <v>15000</v>
      </c>
      <c r="F69" s="22">
        <v>17270</v>
      </c>
      <c r="G69" s="22">
        <v>2009</v>
      </c>
      <c r="H69" s="41">
        <v>300</v>
      </c>
      <c r="I69" s="41">
        <v>300</v>
      </c>
      <c r="J69" s="41">
        <v>160</v>
      </c>
      <c r="K69" s="44">
        <f t="shared" si="5"/>
        <v>0.53333333333333333</v>
      </c>
      <c r="L69" s="45">
        <v>1010800</v>
      </c>
      <c r="N69" s="56"/>
    </row>
    <row r="70" spans="1:14" s="3" customFormat="1" ht="19.5" customHeight="1" x14ac:dyDescent="0.25">
      <c r="A70" s="13" t="s">
        <v>107</v>
      </c>
      <c r="B70" s="72" t="s">
        <v>20</v>
      </c>
      <c r="C70" s="41" t="s">
        <v>44</v>
      </c>
      <c r="D70" s="39" t="s">
        <v>44</v>
      </c>
      <c r="E70" s="22"/>
      <c r="F70" s="22"/>
      <c r="G70" s="22">
        <v>2004</v>
      </c>
      <c r="H70" s="41">
        <v>30</v>
      </c>
      <c r="I70" s="26"/>
      <c r="J70" s="26"/>
      <c r="K70" s="26" t="s">
        <v>87</v>
      </c>
      <c r="L70" s="31">
        <f>L69+L68</f>
        <v>1246672</v>
      </c>
    </row>
    <row r="71" spans="1:14" s="3" customFormat="1" ht="19.5" customHeight="1" x14ac:dyDescent="0.25">
      <c r="A71" s="13" t="s">
        <v>107</v>
      </c>
      <c r="B71" s="72" t="s">
        <v>20</v>
      </c>
      <c r="C71" s="41" t="s">
        <v>102</v>
      </c>
      <c r="D71" s="39"/>
      <c r="E71" s="42">
        <v>12000</v>
      </c>
      <c r="F71" s="42">
        <v>15570</v>
      </c>
      <c r="G71" s="42">
        <v>2005</v>
      </c>
      <c r="H71" s="41">
        <v>60</v>
      </c>
      <c r="I71" s="41">
        <v>60</v>
      </c>
      <c r="J71" s="41">
        <v>60</v>
      </c>
      <c r="K71" s="44">
        <f>J71/H71</f>
        <v>1</v>
      </c>
      <c r="L71" s="45">
        <v>59634</v>
      </c>
    </row>
    <row r="72" spans="1:14" s="3" customFormat="1" ht="19.5" customHeight="1" x14ac:dyDescent="0.25">
      <c r="A72" s="13" t="s">
        <v>107</v>
      </c>
      <c r="B72" s="72" t="s">
        <v>20</v>
      </c>
      <c r="C72" s="41" t="s">
        <v>45</v>
      </c>
      <c r="D72" s="40"/>
      <c r="E72" s="42"/>
      <c r="F72" s="42"/>
      <c r="G72" s="42">
        <v>2005</v>
      </c>
      <c r="H72" s="41">
        <v>68</v>
      </c>
      <c r="I72" s="41">
        <v>68</v>
      </c>
      <c r="J72" s="41">
        <v>68</v>
      </c>
      <c r="K72" s="44">
        <f>J72/H72</f>
        <v>1</v>
      </c>
      <c r="L72" s="45">
        <v>40208</v>
      </c>
    </row>
    <row r="73" spans="1:14" s="3" customFormat="1" ht="19.5" customHeight="1" x14ac:dyDescent="0.25">
      <c r="A73" s="13" t="s">
        <v>107</v>
      </c>
      <c r="B73" s="72" t="s">
        <v>21</v>
      </c>
      <c r="C73" s="22" t="s">
        <v>46</v>
      </c>
      <c r="D73" s="28" t="s">
        <v>104</v>
      </c>
      <c r="E73" s="22">
        <v>7950</v>
      </c>
      <c r="F73" s="22">
        <v>8500</v>
      </c>
      <c r="G73" s="22">
        <v>2017</v>
      </c>
      <c r="H73" s="41">
        <v>60</v>
      </c>
      <c r="I73" s="41">
        <v>60</v>
      </c>
      <c r="J73" s="41">
        <v>13.5</v>
      </c>
      <c r="K73" s="44">
        <f>J73/H73</f>
        <v>0.22500000000000001</v>
      </c>
      <c r="L73" s="45">
        <v>45000</v>
      </c>
    </row>
    <row r="74" spans="1:14" s="3" customFormat="1" ht="19.5" customHeight="1" x14ac:dyDescent="0.25">
      <c r="A74" s="13" t="s">
        <v>107</v>
      </c>
      <c r="B74" s="75" t="s">
        <v>105</v>
      </c>
      <c r="C74" s="58"/>
      <c r="D74" s="59"/>
      <c r="E74" s="58"/>
      <c r="F74" s="58"/>
      <c r="G74" s="58"/>
      <c r="H74" s="60">
        <f>H73+H72+H71+H70+H69+H68+H67+H66+H65</f>
        <v>1247</v>
      </c>
      <c r="I74" s="60">
        <f>I73+I72+I71+I70+I69+I68+I67+I66+I65</f>
        <v>1217</v>
      </c>
      <c r="J74" s="60">
        <f>J73+J72+J71+J69+J68+J67+J66+J65</f>
        <v>663.5</v>
      </c>
      <c r="K74" s="61">
        <f>J74/H74</f>
        <v>0.53207698476343224</v>
      </c>
      <c r="L74" s="62">
        <f>L73+L72+L71+L69+L68+L67+L66+L65</f>
        <v>3662314</v>
      </c>
    </row>
    <row r="75" spans="1:14" s="3" customFormat="1" ht="19.5" customHeight="1" x14ac:dyDescent="0.25">
      <c r="A75" s="13" t="s">
        <v>107</v>
      </c>
      <c r="B75" s="76" t="s">
        <v>106</v>
      </c>
      <c r="C75" s="33"/>
      <c r="D75" s="77"/>
      <c r="E75" s="32"/>
      <c r="F75" s="32"/>
      <c r="G75" s="34"/>
      <c r="H75" s="47">
        <f>H74+H64+H52</f>
        <v>7794</v>
      </c>
      <c r="I75" s="47">
        <f>I74+I64+I52</f>
        <v>6906</v>
      </c>
      <c r="J75" s="47">
        <f>J73+J72+J71+J69+J68+J67+J66+J65+J61+J60+J59+J58+J56+J55+J54+J53+J51+J49+J45+J44+J43+J42+J41+J40+J39+J37+J36</f>
        <v>2573.5</v>
      </c>
      <c r="K75" s="53">
        <f>J75/I75</f>
        <v>0.37264697364610483</v>
      </c>
      <c r="L75" s="47">
        <f>L74+L64+L52</f>
        <v>8942160</v>
      </c>
    </row>
    <row r="76" spans="1:14" s="3" customFormat="1" ht="23.25" customHeight="1" x14ac:dyDescent="0.25">
      <c r="A76" s="13" t="s">
        <v>110</v>
      </c>
      <c r="B76" s="78" t="s">
        <v>6</v>
      </c>
      <c r="C76" s="25" t="s">
        <v>22</v>
      </c>
      <c r="D76" s="25" t="s">
        <v>53</v>
      </c>
      <c r="E76" s="25">
        <v>40000</v>
      </c>
      <c r="F76" s="25">
        <v>43000</v>
      </c>
      <c r="G76" s="25">
        <v>1962</v>
      </c>
      <c r="H76" s="25">
        <v>409</v>
      </c>
      <c r="I76" s="25">
        <v>409</v>
      </c>
      <c r="J76" s="25">
        <v>94</v>
      </c>
      <c r="K76" s="49">
        <f>J76/H76</f>
        <v>0.22982885085574573</v>
      </c>
      <c r="L76" s="50">
        <v>476934</v>
      </c>
    </row>
    <row r="77" spans="1:14" s="3" customFormat="1" ht="20.25" customHeight="1" x14ac:dyDescent="0.25">
      <c r="A77" s="13" t="s">
        <v>110</v>
      </c>
      <c r="B77" s="78" t="s">
        <v>6</v>
      </c>
      <c r="C77" s="25" t="s">
        <v>23</v>
      </c>
      <c r="D77" s="25" t="s">
        <v>54</v>
      </c>
      <c r="E77" s="25">
        <v>116000</v>
      </c>
      <c r="F77" s="25"/>
      <c r="G77" s="25">
        <v>1989</v>
      </c>
      <c r="H77" s="25">
        <v>3145</v>
      </c>
      <c r="I77" s="25">
        <v>3145</v>
      </c>
      <c r="J77" s="25">
        <v>381</v>
      </c>
      <c r="K77" s="49">
        <f>J77/H77</f>
        <v>0.12114467408585056</v>
      </c>
      <c r="L77" s="50">
        <v>2206000</v>
      </c>
    </row>
    <row r="78" spans="1:14" s="3" customFormat="1" ht="29.25" customHeight="1" x14ac:dyDescent="0.25">
      <c r="A78" s="13" t="s">
        <v>110</v>
      </c>
      <c r="B78" s="72" t="s">
        <v>7</v>
      </c>
      <c r="C78" s="21" t="s">
        <v>83</v>
      </c>
      <c r="D78" s="21" t="s">
        <v>47</v>
      </c>
      <c r="E78" s="22"/>
      <c r="F78" s="22"/>
      <c r="G78" s="41"/>
      <c r="H78" s="41">
        <v>174</v>
      </c>
      <c r="I78" s="16">
        <v>0</v>
      </c>
      <c r="J78" s="51"/>
      <c r="K78" s="17" t="s">
        <v>84</v>
      </c>
      <c r="L78" s="52"/>
    </row>
    <row r="79" spans="1:14" s="3" customFormat="1" ht="19.5" customHeight="1" x14ac:dyDescent="0.25">
      <c r="A79" s="13" t="s">
        <v>110</v>
      </c>
      <c r="B79" s="78" t="s">
        <v>8</v>
      </c>
      <c r="C79" s="37" t="s">
        <v>24</v>
      </c>
      <c r="D79" s="28" t="s">
        <v>55</v>
      </c>
      <c r="E79" s="22">
        <v>4500</v>
      </c>
      <c r="F79" s="22">
        <v>7000</v>
      </c>
      <c r="G79" s="41">
        <v>1982</v>
      </c>
      <c r="H79" s="25">
        <v>280</v>
      </c>
      <c r="I79" s="25">
        <v>280</v>
      </c>
      <c r="J79" s="25">
        <v>158</v>
      </c>
      <c r="K79" s="49">
        <f>J79/H79</f>
        <v>0.56428571428571428</v>
      </c>
      <c r="L79" s="50">
        <v>739300</v>
      </c>
    </row>
    <row r="80" spans="1:14" s="3" customFormat="1" ht="19.5" customHeight="1" x14ac:dyDescent="0.25">
      <c r="A80" s="13" t="s">
        <v>110</v>
      </c>
      <c r="B80" s="78" t="s">
        <v>8</v>
      </c>
      <c r="C80" s="25" t="s">
        <v>25</v>
      </c>
      <c r="D80" s="63"/>
      <c r="E80" s="42">
        <v>18000</v>
      </c>
      <c r="F80" s="42">
        <v>25000</v>
      </c>
      <c r="G80" s="41">
        <v>2003</v>
      </c>
      <c r="H80" s="25">
        <v>83</v>
      </c>
      <c r="I80" s="25">
        <v>83</v>
      </c>
      <c r="J80" s="25">
        <v>14.5</v>
      </c>
      <c r="K80" s="49">
        <f>J80/H80</f>
        <v>0.1746987951807229</v>
      </c>
      <c r="L80" s="64"/>
    </row>
    <row r="81" spans="1:12" s="3" customFormat="1" ht="24.75" customHeight="1" x14ac:dyDescent="0.25">
      <c r="A81" s="13" t="s">
        <v>110</v>
      </c>
      <c r="B81" s="78" t="s">
        <v>8</v>
      </c>
      <c r="C81" s="25" t="s">
        <v>26</v>
      </c>
      <c r="D81" s="25" t="s">
        <v>56</v>
      </c>
      <c r="E81" s="25">
        <v>18000</v>
      </c>
      <c r="F81" s="25">
        <v>25000</v>
      </c>
      <c r="G81" s="22">
        <v>2002</v>
      </c>
      <c r="H81" s="28">
        <v>50</v>
      </c>
      <c r="I81" s="25">
        <v>50</v>
      </c>
      <c r="J81" s="25">
        <v>48</v>
      </c>
      <c r="K81" s="49">
        <f>J81/H81</f>
        <v>0.96</v>
      </c>
      <c r="L81" s="50">
        <v>398100</v>
      </c>
    </row>
    <row r="82" spans="1:12" s="3" customFormat="1" ht="19.5" customHeight="1" x14ac:dyDescent="0.25">
      <c r="A82" s="13" t="s">
        <v>110</v>
      </c>
      <c r="B82" s="78" t="s">
        <v>8</v>
      </c>
      <c r="C82" s="28" t="s">
        <v>27</v>
      </c>
      <c r="D82" s="37"/>
      <c r="E82" s="37"/>
      <c r="F82" s="37"/>
      <c r="G82" s="22">
        <v>1982</v>
      </c>
      <c r="H82" s="28">
        <v>70</v>
      </c>
      <c r="I82" s="25">
        <v>70</v>
      </c>
      <c r="J82" s="28">
        <v>9</v>
      </c>
      <c r="K82" s="49">
        <f t="shared" ref="K82:K83" si="6">J82/H82</f>
        <v>0.12857142857142856</v>
      </c>
      <c r="L82" s="64"/>
    </row>
    <row r="83" spans="1:12" s="3" customFormat="1" ht="19.5" customHeight="1" x14ac:dyDescent="0.25">
      <c r="A83" s="13" t="s">
        <v>110</v>
      </c>
      <c r="B83" s="78" t="s">
        <v>8</v>
      </c>
      <c r="C83" s="37" t="s">
        <v>85</v>
      </c>
      <c r="D83" s="37"/>
      <c r="E83" s="37"/>
      <c r="F83" s="37"/>
      <c r="G83" s="22">
        <v>2002</v>
      </c>
      <c r="H83" s="28">
        <v>75</v>
      </c>
      <c r="I83" s="37">
        <v>75</v>
      </c>
      <c r="J83" s="37">
        <v>32</v>
      </c>
      <c r="K83" s="49">
        <f t="shared" si="6"/>
        <v>0.42666666666666669</v>
      </c>
      <c r="L83" s="64"/>
    </row>
    <row r="84" spans="1:12" s="3" customFormat="1" ht="19.5" customHeight="1" x14ac:dyDescent="0.25">
      <c r="A84" s="13" t="s">
        <v>110</v>
      </c>
      <c r="B84" s="78" t="s">
        <v>8</v>
      </c>
      <c r="C84" s="25" t="s">
        <v>28</v>
      </c>
      <c r="D84" s="28" t="s">
        <v>28</v>
      </c>
      <c r="E84" s="22">
        <v>7500</v>
      </c>
      <c r="F84" s="22">
        <v>7500</v>
      </c>
      <c r="G84" s="22">
        <v>2002</v>
      </c>
      <c r="H84" s="25">
        <v>45</v>
      </c>
      <c r="I84" s="25">
        <v>45</v>
      </c>
      <c r="J84" s="25">
        <v>40</v>
      </c>
      <c r="K84" s="49">
        <f>J84/H84</f>
        <v>0.88888888888888884</v>
      </c>
      <c r="L84" s="50">
        <v>200000</v>
      </c>
    </row>
    <row r="85" spans="1:12" s="3" customFormat="1" ht="15" customHeight="1" x14ac:dyDescent="0.25">
      <c r="A85" s="13" t="s">
        <v>110</v>
      </c>
      <c r="B85" s="78" t="s">
        <v>9</v>
      </c>
      <c r="C85" s="25" t="s">
        <v>29</v>
      </c>
      <c r="D85" s="25" t="s">
        <v>57</v>
      </c>
      <c r="E85" s="25">
        <v>2500</v>
      </c>
      <c r="F85" s="25">
        <v>3000</v>
      </c>
      <c r="G85" s="41">
        <v>2014</v>
      </c>
      <c r="H85" s="25">
        <v>60</v>
      </c>
      <c r="I85" s="25">
        <v>60</v>
      </c>
      <c r="J85" s="25">
        <v>35</v>
      </c>
      <c r="K85" s="49">
        <f>J85/H85</f>
        <v>0.58333333333333337</v>
      </c>
      <c r="L85" s="50">
        <v>100000</v>
      </c>
    </row>
    <row r="86" spans="1:12" s="3" customFormat="1" ht="19.5" customHeight="1" x14ac:dyDescent="0.25">
      <c r="A86" s="13" t="s">
        <v>110</v>
      </c>
      <c r="B86" s="78" t="s">
        <v>9</v>
      </c>
      <c r="C86" s="36" t="s">
        <v>86</v>
      </c>
      <c r="D86" s="36" t="s">
        <v>86</v>
      </c>
      <c r="E86" s="36"/>
      <c r="F86" s="35"/>
      <c r="G86" s="35">
        <v>2016</v>
      </c>
      <c r="H86" s="36">
        <v>60</v>
      </c>
      <c r="I86" s="36">
        <v>60</v>
      </c>
      <c r="J86" s="20" t="s">
        <v>87</v>
      </c>
      <c r="K86" s="18"/>
      <c r="L86" s="19"/>
    </row>
    <row r="87" spans="1:12" s="3" customFormat="1" ht="19.5" customHeight="1" x14ac:dyDescent="0.25">
      <c r="A87" s="13" t="s">
        <v>110</v>
      </c>
      <c r="B87" s="78" t="s">
        <v>10</v>
      </c>
      <c r="C87" s="21" t="s">
        <v>88</v>
      </c>
      <c r="D87" s="21" t="s">
        <v>59</v>
      </c>
      <c r="E87" s="22"/>
      <c r="F87" s="22"/>
      <c r="G87" s="22"/>
      <c r="H87" s="22">
        <v>354</v>
      </c>
      <c r="I87" s="22">
        <v>0</v>
      </c>
      <c r="J87" s="22"/>
      <c r="K87" s="22"/>
      <c r="L87" s="23"/>
    </row>
    <row r="88" spans="1:12" s="3" customFormat="1" ht="29.25" customHeight="1" x14ac:dyDescent="0.25">
      <c r="A88" s="13" t="s">
        <v>110</v>
      </c>
      <c r="B88" s="78" t="s">
        <v>10</v>
      </c>
      <c r="C88" s="21" t="s">
        <v>90</v>
      </c>
      <c r="D88" s="21" t="s">
        <v>89</v>
      </c>
      <c r="E88" s="22"/>
      <c r="F88" s="22"/>
      <c r="G88" s="22"/>
      <c r="H88" s="22">
        <v>100</v>
      </c>
      <c r="I88" s="22"/>
      <c r="J88" s="22"/>
      <c r="K88" s="22"/>
      <c r="L88" s="23"/>
    </row>
    <row r="89" spans="1:12" s="3" customFormat="1" ht="27.75" customHeight="1" x14ac:dyDescent="0.25">
      <c r="A89" s="13" t="s">
        <v>110</v>
      </c>
      <c r="B89" s="78" t="s">
        <v>10</v>
      </c>
      <c r="C89" s="21" t="s">
        <v>91</v>
      </c>
      <c r="D89" s="21" t="s">
        <v>91</v>
      </c>
      <c r="E89" s="22"/>
      <c r="F89" s="22"/>
      <c r="G89" s="22">
        <v>2023</v>
      </c>
      <c r="H89" s="22">
        <v>60</v>
      </c>
      <c r="I89" s="22">
        <v>60</v>
      </c>
      <c r="J89" s="22">
        <v>60</v>
      </c>
      <c r="K89" s="24">
        <f>J89/H89</f>
        <v>1</v>
      </c>
      <c r="L89" s="23">
        <v>40000</v>
      </c>
    </row>
    <row r="90" spans="1:12" s="3" customFormat="1" ht="19.5" x14ac:dyDescent="0.25">
      <c r="A90" s="13" t="s">
        <v>110</v>
      </c>
      <c r="B90" s="73" t="s">
        <v>11</v>
      </c>
      <c r="C90" s="40" t="s">
        <v>31</v>
      </c>
      <c r="D90" s="40" t="s">
        <v>60</v>
      </c>
      <c r="E90" s="42"/>
      <c r="F90" s="42"/>
      <c r="G90" s="42"/>
      <c r="H90" s="42">
        <v>180</v>
      </c>
      <c r="I90" s="42">
        <v>0</v>
      </c>
      <c r="J90" s="42"/>
      <c r="K90" s="42"/>
      <c r="L90" s="46"/>
    </row>
    <row r="91" spans="1:12" s="3" customFormat="1" ht="15" customHeight="1" x14ac:dyDescent="0.25">
      <c r="A91" s="13" t="s">
        <v>110</v>
      </c>
      <c r="B91" s="78" t="s">
        <v>12</v>
      </c>
      <c r="C91" s="25" t="s">
        <v>32</v>
      </c>
      <c r="D91" s="25" t="s">
        <v>32</v>
      </c>
      <c r="E91" s="25">
        <v>3334</v>
      </c>
      <c r="F91" s="25">
        <v>3655</v>
      </c>
      <c r="G91" s="41">
        <v>2006</v>
      </c>
      <c r="H91" s="25">
        <v>87</v>
      </c>
      <c r="I91" s="25">
        <v>87</v>
      </c>
      <c r="J91" s="25">
        <v>111</v>
      </c>
      <c r="K91" s="49">
        <f t="shared" ref="K91:K96" si="7">J91/H91</f>
        <v>1.2758620689655173</v>
      </c>
      <c r="L91" s="50">
        <v>886010</v>
      </c>
    </row>
    <row r="92" spans="1:12" ht="19.5" customHeight="1" x14ac:dyDescent="0.25">
      <c r="A92" s="13" t="s">
        <v>110</v>
      </c>
      <c r="B92" s="79" t="s">
        <v>92</v>
      </c>
      <c r="C92" s="58"/>
      <c r="D92" s="59"/>
      <c r="E92" s="58"/>
      <c r="F92" s="58"/>
      <c r="G92" s="58"/>
      <c r="H92" s="68">
        <f>H91+H90+H89+H88+H87+H86+H85+H84+H83+H82+H81+H80+H79+H78+H77+H76</f>
        <v>5232</v>
      </c>
      <c r="I92" s="68">
        <f>I91+I90+I89+I88+I87+I86+I85+I84+I81+I79+I78+I77+I76</f>
        <v>4196</v>
      </c>
      <c r="J92" s="68">
        <f>J91+J89+J85+J84+J83+J82+J81+J80+J79+J77+J76</f>
        <v>982.5</v>
      </c>
      <c r="K92" s="69">
        <f t="shared" si="7"/>
        <v>0.18778669724770641</v>
      </c>
      <c r="L92" s="70">
        <f>L91+L90+L89+L88+L87+L85+L84+L81+L79+L77+L76</f>
        <v>5046344</v>
      </c>
    </row>
    <row r="93" spans="1:12" ht="15" customHeight="1" x14ac:dyDescent="0.25">
      <c r="A93" s="13" t="s">
        <v>110</v>
      </c>
      <c r="B93" s="78" t="s">
        <v>13</v>
      </c>
      <c r="C93" s="25" t="s">
        <v>33</v>
      </c>
      <c r="D93" s="25" t="s">
        <v>61</v>
      </c>
      <c r="E93" s="25">
        <v>10000</v>
      </c>
      <c r="F93" s="25">
        <v>17800</v>
      </c>
      <c r="G93" s="41">
        <v>1987</v>
      </c>
      <c r="H93" s="25">
        <v>257</v>
      </c>
      <c r="I93" s="25">
        <v>257</v>
      </c>
      <c r="J93" s="25">
        <v>257</v>
      </c>
      <c r="K93" s="49">
        <f t="shared" si="7"/>
        <v>1</v>
      </c>
      <c r="L93" s="50">
        <v>523280</v>
      </c>
    </row>
    <row r="94" spans="1:12" ht="15" customHeight="1" x14ac:dyDescent="0.25">
      <c r="A94" s="13" t="s">
        <v>110</v>
      </c>
      <c r="B94" s="78" t="s">
        <v>13</v>
      </c>
      <c r="C94" s="25" t="s">
        <v>34</v>
      </c>
      <c r="D94" s="25" t="s">
        <v>93</v>
      </c>
      <c r="E94" s="25">
        <v>10000</v>
      </c>
      <c r="F94" s="25">
        <v>7850</v>
      </c>
      <c r="G94" s="22">
        <v>2003</v>
      </c>
      <c r="H94" s="25">
        <v>185</v>
      </c>
      <c r="I94" s="25">
        <v>185</v>
      </c>
      <c r="J94" s="25">
        <v>185</v>
      </c>
      <c r="K94" s="49">
        <f t="shared" si="7"/>
        <v>1</v>
      </c>
      <c r="L94" s="50">
        <v>359131</v>
      </c>
    </row>
    <row r="95" spans="1:12" ht="15" customHeight="1" x14ac:dyDescent="0.25">
      <c r="A95" s="13" t="s">
        <v>110</v>
      </c>
      <c r="B95" s="78" t="s">
        <v>13</v>
      </c>
      <c r="C95" s="37" t="s">
        <v>61</v>
      </c>
      <c r="D95" s="37" t="s">
        <v>94</v>
      </c>
      <c r="E95" s="37"/>
      <c r="F95" s="37"/>
      <c r="G95" s="22">
        <v>2022</v>
      </c>
      <c r="H95" s="25">
        <v>200</v>
      </c>
      <c r="I95" s="25">
        <v>200</v>
      </c>
      <c r="J95" s="25">
        <v>200</v>
      </c>
      <c r="K95" s="49">
        <f t="shared" si="7"/>
        <v>1</v>
      </c>
      <c r="L95" s="50">
        <v>111280</v>
      </c>
    </row>
    <row r="96" spans="1:12" ht="19.5" customHeight="1" x14ac:dyDescent="0.25">
      <c r="A96" s="13" t="s">
        <v>110</v>
      </c>
      <c r="B96" s="78" t="s">
        <v>14</v>
      </c>
      <c r="C96" s="25" t="s">
        <v>35</v>
      </c>
      <c r="D96" s="25" t="s">
        <v>35</v>
      </c>
      <c r="E96" s="22">
        <v>1000</v>
      </c>
      <c r="F96" s="22">
        <v>1000</v>
      </c>
      <c r="G96" s="22">
        <v>1997</v>
      </c>
      <c r="H96" s="25">
        <v>50</v>
      </c>
      <c r="I96" s="25">
        <v>50</v>
      </c>
      <c r="J96" s="25">
        <v>74</v>
      </c>
      <c r="K96" s="49">
        <f t="shared" si="7"/>
        <v>1.48</v>
      </c>
      <c r="L96" s="50">
        <v>280000</v>
      </c>
    </row>
    <row r="97" spans="1:12" ht="27" customHeight="1" x14ac:dyDescent="0.25">
      <c r="A97" s="13" t="s">
        <v>110</v>
      </c>
      <c r="B97" s="78" t="s">
        <v>14</v>
      </c>
      <c r="C97" s="25" t="s">
        <v>96</v>
      </c>
      <c r="D97" s="39" t="s">
        <v>95</v>
      </c>
      <c r="E97" s="41"/>
      <c r="F97" s="41"/>
      <c r="G97" s="41"/>
      <c r="H97" s="41">
        <v>50</v>
      </c>
      <c r="I97" s="41">
        <v>0</v>
      </c>
      <c r="J97" s="26" t="s">
        <v>70</v>
      </c>
      <c r="K97" s="27"/>
      <c r="L97" s="28"/>
    </row>
    <row r="98" spans="1:12" ht="15" customHeight="1" x14ac:dyDescent="0.25">
      <c r="A98" s="13" t="s">
        <v>110</v>
      </c>
      <c r="B98" s="78" t="s">
        <v>14</v>
      </c>
      <c r="C98" s="25" t="s">
        <v>97</v>
      </c>
      <c r="D98" s="25" t="s">
        <v>97</v>
      </c>
      <c r="E98" s="25"/>
      <c r="F98" s="25"/>
      <c r="G98" s="41">
        <v>2022</v>
      </c>
      <c r="H98" s="25">
        <v>27</v>
      </c>
      <c r="I98" s="25">
        <v>27</v>
      </c>
      <c r="J98" s="25">
        <v>10</v>
      </c>
      <c r="K98" s="49">
        <f>J98/H98</f>
        <v>0.37037037037037035</v>
      </c>
      <c r="L98" s="25">
        <v>40000</v>
      </c>
    </row>
    <row r="99" spans="1:12" ht="19.5" customHeight="1" x14ac:dyDescent="0.25">
      <c r="A99" s="13" t="s">
        <v>110</v>
      </c>
      <c r="B99" s="78" t="s">
        <v>108</v>
      </c>
      <c r="C99" s="40" t="s">
        <v>75</v>
      </c>
      <c r="D99" s="25" t="s">
        <v>74</v>
      </c>
      <c r="E99" s="42"/>
      <c r="F99" s="42"/>
      <c r="G99" s="42">
        <v>2022</v>
      </c>
      <c r="H99" s="25">
        <v>36</v>
      </c>
      <c r="I99" s="25">
        <v>36</v>
      </c>
      <c r="J99" s="25">
        <v>20</v>
      </c>
      <c r="K99" s="49">
        <f>J99/H99</f>
        <v>0.55555555555555558</v>
      </c>
      <c r="L99" s="25">
        <v>48300</v>
      </c>
    </row>
    <row r="100" spans="1:12" ht="19.5" customHeight="1" x14ac:dyDescent="0.25">
      <c r="A100" s="13" t="s">
        <v>110</v>
      </c>
      <c r="B100" s="80" t="s">
        <v>15</v>
      </c>
      <c r="C100" s="68" t="s">
        <v>36</v>
      </c>
      <c r="D100" s="68" t="s">
        <v>63</v>
      </c>
      <c r="E100" s="58">
        <v>15000</v>
      </c>
      <c r="F100" s="58">
        <v>20000</v>
      </c>
      <c r="G100" s="58">
        <v>1983</v>
      </c>
      <c r="H100" s="68">
        <v>380</v>
      </c>
      <c r="I100" s="68">
        <v>380</v>
      </c>
      <c r="J100" s="68">
        <v>270</v>
      </c>
      <c r="K100" s="69">
        <f>J100/H100</f>
        <v>0.71052631578947367</v>
      </c>
      <c r="L100" s="38">
        <v>685440</v>
      </c>
    </row>
    <row r="101" spans="1:12" ht="19.5" customHeight="1" x14ac:dyDescent="0.25">
      <c r="A101" s="13" t="s">
        <v>110</v>
      </c>
      <c r="B101" s="80" t="s">
        <v>16</v>
      </c>
      <c r="C101" s="68" t="s">
        <v>37</v>
      </c>
      <c r="D101" s="68" t="s">
        <v>64</v>
      </c>
      <c r="E101" s="58">
        <v>4300</v>
      </c>
      <c r="F101" s="58">
        <v>15000</v>
      </c>
      <c r="G101" s="58">
        <v>1998</v>
      </c>
      <c r="H101" s="68">
        <v>131</v>
      </c>
      <c r="I101" s="68">
        <v>131</v>
      </c>
      <c r="J101" s="68">
        <v>131</v>
      </c>
      <c r="K101" s="69">
        <f>J101/H101</f>
        <v>1</v>
      </c>
      <c r="L101" s="70">
        <v>400000</v>
      </c>
    </row>
    <row r="102" spans="1:12" ht="19.5" customHeight="1" x14ac:dyDescent="0.25">
      <c r="A102" s="13" t="s">
        <v>110</v>
      </c>
      <c r="B102" s="80" t="s">
        <v>16</v>
      </c>
      <c r="C102" s="68" t="s">
        <v>38</v>
      </c>
      <c r="D102" s="103" t="s">
        <v>38</v>
      </c>
      <c r="E102" s="60"/>
      <c r="F102" s="60"/>
      <c r="G102" s="58">
        <v>2009</v>
      </c>
      <c r="H102" s="104" t="s">
        <v>87</v>
      </c>
      <c r="I102" s="105"/>
      <c r="J102" s="105"/>
      <c r="K102" s="105"/>
      <c r="L102" s="105"/>
    </row>
    <row r="103" spans="1:12" ht="19.5" x14ac:dyDescent="0.25">
      <c r="A103" s="13" t="s">
        <v>110</v>
      </c>
      <c r="B103" s="73" t="s">
        <v>98</v>
      </c>
      <c r="C103" s="28" t="s">
        <v>99</v>
      </c>
      <c r="D103" s="21" t="s">
        <v>99</v>
      </c>
      <c r="E103" s="22"/>
      <c r="F103" s="22"/>
      <c r="G103" s="22">
        <v>2022</v>
      </c>
      <c r="H103" s="29">
        <v>12</v>
      </c>
      <c r="I103" s="27">
        <v>12</v>
      </c>
      <c r="J103" s="30">
        <v>0</v>
      </c>
      <c r="K103" s="30"/>
      <c r="L103" s="31"/>
    </row>
    <row r="104" spans="1:12" ht="19.5" customHeight="1" x14ac:dyDescent="0.25">
      <c r="A104" s="13" t="s">
        <v>110</v>
      </c>
      <c r="B104" s="79" t="s">
        <v>100</v>
      </c>
      <c r="C104" s="58"/>
      <c r="D104" s="59"/>
      <c r="E104" s="58"/>
      <c r="F104" s="58"/>
      <c r="G104" s="58"/>
      <c r="H104" s="68">
        <f>H103+H101+H100+H99+H98+H97+H96+H95+H94+H93</f>
        <v>1328</v>
      </c>
      <c r="I104" s="68">
        <f>I103+I101+I100+I99+I98+I97+I96+I95+I94+I93</f>
        <v>1278</v>
      </c>
      <c r="J104" s="68">
        <f>J101+J100+J99+J98+J96+J95+J94+J93</f>
        <v>1147</v>
      </c>
      <c r="K104" s="69">
        <f t="shared" ref="K104:K109" si="8">J104/H104</f>
        <v>0.8637048192771084</v>
      </c>
      <c r="L104" s="70">
        <f>L101+L100+L99+L98+L96+L95+L94+L93</f>
        <v>2447431</v>
      </c>
    </row>
    <row r="105" spans="1:12" ht="19.5" customHeight="1" x14ac:dyDescent="0.25">
      <c r="A105" s="13" t="s">
        <v>110</v>
      </c>
      <c r="B105" s="78" t="s">
        <v>17</v>
      </c>
      <c r="C105" s="25" t="s">
        <v>39</v>
      </c>
      <c r="D105" s="25" t="s">
        <v>101</v>
      </c>
      <c r="E105" s="42">
        <v>40400</v>
      </c>
      <c r="F105" s="42">
        <v>49500</v>
      </c>
      <c r="G105" s="22">
        <v>1987</v>
      </c>
      <c r="H105" s="25">
        <v>452</v>
      </c>
      <c r="I105" s="25">
        <v>452</v>
      </c>
      <c r="J105" s="25">
        <v>96</v>
      </c>
      <c r="K105" s="49">
        <f t="shared" si="8"/>
        <v>0.21238938053097345</v>
      </c>
      <c r="L105" s="50">
        <v>1053405</v>
      </c>
    </row>
    <row r="106" spans="1:12" ht="19.5" customHeight="1" x14ac:dyDescent="0.25">
      <c r="A106" s="13" t="s">
        <v>110</v>
      </c>
      <c r="B106" s="78" t="s">
        <v>17</v>
      </c>
      <c r="C106" s="25" t="s">
        <v>40</v>
      </c>
      <c r="D106" s="25" t="s">
        <v>40</v>
      </c>
      <c r="E106" s="22">
        <v>700</v>
      </c>
      <c r="F106" s="42">
        <v>14000</v>
      </c>
      <c r="G106" s="22">
        <v>2009</v>
      </c>
      <c r="H106" s="25">
        <v>60</v>
      </c>
      <c r="I106" s="25">
        <v>60</v>
      </c>
      <c r="J106" s="25">
        <v>52</v>
      </c>
      <c r="K106" s="49">
        <f t="shared" si="8"/>
        <v>0.8666666666666667</v>
      </c>
      <c r="L106" s="50">
        <v>42000</v>
      </c>
    </row>
    <row r="107" spans="1:12" ht="19.5" customHeight="1" x14ac:dyDescent="0.25">
      <c r="A107" s="13" t="s">
        <v>110</v>
      </c>
      <c r="B107" s="78" t="s">
        <v>18</v>
      </c>
      <c r="C107" s="25" t="s">
        <v>41</v>
      </c>
      <c r="D107" s="25" t="s">
        <v>41</v>
      </c>
      <c r="E107" s="42">
        <v>10000</v>
      </c>
      <c r="F107" s="42"/>
      <c r="G107" s="22">
        <v>1994</v>
      </c>
      <c r="H107" s="25">
        <v>117</v>
      </c>
      <c r="I107" s="25">
        <v>117</v>
      </c>
      <c r="J107" s="25">
        <v>137</v>
      </c>
      <c r="K107" s="49">
        <f t="shared" si="8"/>
        <v>1.170940170940171</v>
      </c>
      <c r="L107" s="50">
        <v>1295568</v>
      </c>
    </row>
    <row r="108" spans="1:12" ht="19.5" customHeight="1" x14ac:dyDescent="0.25">
      <c r="A108" s="13" t="s">
        <v>110</v>
      </c>
      <c r="B108" s="78" t="s">
        <v>19</v>
      </c>
      <c r="C108" s="25" t="s">
        <v>42</v>
      </c>
      <c r="D108" s="25" t="s">
        <v>42</v>
      </c>
      <c r="E108" s="42">
        <v>5000</v>
      </c>
      <c r="F108" s="42">
        <v>4060</v>
      </c>
      <c r="G108" s="22">
        <v>2006</v>
      </c>
      <c r="H108" s="25">
        <v>100</v>
      </c>
      <c r="I108" s="25">
        <v>100</v>
      </c>
      <c r="J108" s="25">
        <v>62</v>
      </c>
      <c r="K108" s="49">
        <f t="shared" si="8"/>
        <v>0.62</v>
      </c>
      <c r="L108" s="50">
        <v>235872</v>
      </c>
    </row>
    <row r="109" spans="1:12" ht="19.5" customHeight="1" x14ac:dyDescent="0.25">
      <c r="A109" s="13" t="s">
        <v>110</v>
      </c>
      <c r="B109" s="78" t="s">
        <v>19</v>
      </c>
      <c r="C109" s="25" t="s">
        <v>43</v>
      </c>
      <c r="D109" s="25" t="s">
        <v>66</v>
      </c>
      <c r="E109" s="42">
        <v>15000</v>
      </c>
      <c r="F109" s="42">
        <v>17270</v>
      </c>
      <c r="G109" s="22">
        <v>2009</v>
      </c>
      <c r="H109" s="25">
        <v>300</v>
      </c>
      <c r="I109" s="25">
        <v>300</v>
      </c>
      <c r="J109" s="25">
        <v>160</v>
      </c>
      <c r="K109" s="49">
        <f t="shared" si="8"/>
        <v>0.53333333333333333</v>
      </c>
      <c r="L109" s="50">
        <v>1010800</v>
      </c>
    </row>
    <row r="110" spans="1:12" ht="19.5" customHeight="1" x14ac:dyDescent="0.25">
      <c r="A110" s="13" t="s">
        <v>110</v>
      </c>
      <c r="B110" s="78" t="s">
        <v>20</v>
      </c>
      <c r="C110" s="25" t="s">
        <v>44</v>
      </c>
      <c r="D110" s="21" t="s">
        <v>44</v>
      </c>
      <c r="E110" s="22"/>
      <c r="F110" s="22"/>
      <c r="G110" s="22">
        <v>2004</v>
      </c>
      <c r="H110" s="41">
        <v>30</v>
      </c>
      <c r="I110" s="26"/>
      <c r="J110" s="26"/>
      <c r="K110" s="26" t="s">
        <v>87</v>
      </c>
      <c r="L110" s="31"/>
    </row>
    <row r="111" spans="1:12" ht="19.5" customHeight="1" x14ac:dyDescent="0.25">
      <c r="A111" s="13" t="s">
        <v>110</v>
      </c>
      <c r="B111" s="78" t="s">
        <v>20</v>
      </c>
      <c r="C111" s="25" t="s">
        <v>102</v>
      </c>
      <c r="D111" s="37" t="s">
        <v>103</v>
      </c>
      <c r="E111" s="42">
        <v>12000</v>
      </c>
      <c r="F111" s="42">
        <v>15570</v>
      </c>
      <c r="G111" s="22">
        <v>2005</v>
      </c>
      <c r="H111" s="25">
        <v>60</v>
      </c>
      <c r="I111" s="25">
        <v>60</v>
      </c>
      <c r="J111" s="25">
        <v>60</v>
      </c>
      <c r="K111" s="49">
        <f>J111/H111</f>
        <v>1</v>
      </c>
      <c r="L111" s="50">
        <v>59634</v>
      </c>
    </row>
    <row r="112" spans="1:12" ht="19.5" customHeight="1" x14ac:dyDescent="0.25">
      <c r="A112" s="13" t="s">
        <v>110</v>
      </c>
      <c r="B112" s="78" t="s">
        <v>20</v>
      </c>
      <c r="C112" s="25" t="s">
        <v>45</v>
      </c>
      <c r="D112" s="37"/>
      <c r="E112" s="43"/>
      <c r="F112" s="43"/>
      <c r="G112" s="22">
        <v>2005</v>
      </c>
      <c r="H112" s="25">
        <v>68</v>
      </c>
      <c r="I112" s="25">
        <v>68</v>
      </c>
      <c r="J112" s="25">
        <v>68</v>
      </c>
      <c r="K112" s="49">
        <f>J112/H112</f>
        <v>1</v>
      </c>
      <c r="L112" s="50">
        <v>40208</v>
      </c>
    </row>
    <row r="113" spans="1:2224" ht="19.5" customHeight="1" x14ac:dyDescent="0.25">
      <c r="A113" s="13" t="s">
        <v>110</v>
      </c>
      <c r="B113" s="78" t="s">
        <v>21</v>
      </c>
      <c r="C113" s="28" t="s">
        <v>46</v>
      </c>
      <c r="D113" s="28" t="s">
        <v>104</v>
      </c>
      <c r="E113" s="22">
        <v>7950</v>
      </c>
      <c r="F113" s="22">
        <v>8500</v>
      </c>
      <c r="G113" s="22">
        <v>2017</v>
      </c>
      <c r="H113" s="28">
        <v>60</v>
      </c>
      <c r="I113" s="25">
        <v>60</v>
      </c>
      <c r="J113" s="25">
        <v>13.5</v>
      </c>
      <c r="K113" s="49">
        <f>J113/H113</f>
        <v>0.22500000000000001</v>
      </c>
      <c r="L113" s="50">
        <v>35957</v>
      </c>
    </row>
    <row r="114" spans="1:2224" ht="19.5" customHeight="1" x14ac:dyDescent="0.25">
      <c r="A114" s="13" t="s">
        <v>110</v>
      </c>
      <c r="B114" s="81" t="s">
        <v>105</v>
      </c>
      <c r="C114" s="58"/>
      <c r="D114" s="59"/>
      <c r="E114" s="58"/>
      <c r="F114" s="58"/>
      <c r="G114" s="58"/>
      <c r="H114" s="71">
        <f>H113+H112+H111+H110+H109+H108+H107+H106+H105</f>
        <v>1247</v>
      </c>
      <c r="I114" s="68">
        <f>I113+I112+I111+I110+I109+I108+I107+I106+I105</f>
        <v>1217</v>
      </c>
      <c r="J114" s="68">
        <f>J113+J112+J111+J109+J108+J107+J106+J105</f>
        <v>648.5</v>
      </c>
      <c r="K114" s="69">
        <f>J114/H114</f>
        <v>0.52004811547714513</v>
      </c>
      <c r="L114" s="70">
        <f>L113+L112+L111+L109+L108+L107+L106+L105</f>
        <v>3773444</v>
      </c>
    </row>
    <row r="115" spans="1:2224" s="1" customFormat="1" ht="19.5" customHeight="1" x14ac:dyDescent="0.25">
      <c r="A115" s="13" t="s">
        <v>110</v>
      </c>
      <c r="B115" s="89" t="s">
        <v>106</v>
      </c>
      <c r="C115" s="90"/>
      <c r="D115" s="91"/>
      <c r="E115" s="90"/>
      <c r="F115" s="90"/>
      <c r="G115" s="91"/>
      <c r="H115" s="92">
        <f>H114+H104+H92</f>
        <v>7807</v>
      </c>
      <c r="I115" s="92">
        <f>I114+I104+I92</f>
        <v>6691</v>
      </c>
      <c r="J115" s="92">
        <f>J113+J112+J111+J109+J108+J107+J106+J105+J101+J100+J99+J98+J96+J95+J94+J93+J91+J89+J85+J84+J83+J82+J81+J80+J79+J77+J76</f>
        <v>2778</v>
      </c>
      <c r="K115" s="93">
        <f>J115/I115</f>
        <v>0.41518457629651773</v>
      </c>
      <c r="L115" s="92">
        <f>L114+L104+L92</f>
        <v>11267219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7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IW115" s="8"/>
      <c r="IX115" s="8"/>
      <c r="IY115" s="8"/>
      <c r="IZ115" s="8"/>
      <c r="JA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L115" s="8"/>
      <c r="JM115" s="8"/>
      <c r="JN115" s="8"/>
      <c r="JO115" s="8"/>
      <c r="JP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A115" s="8"/>
      <c r="KB115" s="8"/>
      <c r="KC115" s="8"/>
      <c r="KD115" s="8"/>
      <c r="KE115" s="8"/>
      <c r="KF115" s="8"/>
      <c r="KG115" s="8"/>
      <c r="KH115" s="8"/>
      <c r="KI115" s="8"/>
      <c r="KJ115" s="8"/>
      <c r="KK115" s="8"/>
      <c r="KL115" s="8"/>
      <c r="KM115" s="8"/>
      <c r="KN115" s="8"/>
      <c r="KO115" s="8"/>
      <c r="KP115" s="8"/>
      <c r="KQ115" s="8"/>
      <c r="KR115" s="8"/>
      <c r="KS115" s="8"/>
      <c r="KT115" s="8"/>
      <c r="KU115" s="8"/>
      <c r="KV115" s="8"/>
      <c r="KW115" s="8"/>
      <c r="KX115" s="8"/>
      <c r="KY115" s="8"/>
      <c r="KZ115" s="8"/>
      <c r="LA115" s="8"/>
      <c r="LB115" s="8"/>
      <c r="LC115" s="8"/>
      <c r="LD115" s="8"/>
      <c r="LE115" s="8"/>
      <c r="LF115" s="8"/>
      <c r="LG115" s="8"/>
      <c r="LH115" s="8"/>
      <c r="LI115" s="8"/>
      <c r="LJ115" s="8"/>
      <c r="LK115" s="8"/>
      <c r="LL115" s="8"/>
      <c r="LM115" s="8"/>
      <c r="LN115" s="8"/>
      <c r="LO115" s="8"/>
      <c r="LP115" s="8"/>
      <c r="LQ115" s="8"/>
      <c r="LR115" s="8"/>
      <c r="LS115" s="8"/>
      <c r="LT115" s="8"/>
      <c r="LU115" s="8"/>
      <c r="LV115" s="8"/>
      <c r="LW115" s="8"/>
      <c r="LX115" s="8"/>
      <c r="LY115" s="8"/>
      <c r="LZ115" s="8"/>
      <c r="MA115" s="8"/>
      <c r="MB115" s="8"/>
      <c r="MC115" s="8"/>
      <c r="MD115" s="8"/>
      <c r="ME115" s="8"/>
      <c r="MF115" s="8"/>
      <c r="MG115" s="8"/>
      <c r="MH115" s="8"/>
      <c r="MI115" s="8"/>
      <c r="MJ115" s="8"/>
      <c r="MK115" s="8"/>
      <c r="ML115" s="8"/>
      <c r="MM115" s="8"/>
      <c r="MN115" s="8"/>
      <c r="MO115" s="8"/>
      <c r="MP115" s="8"/>
      <c r="MQ115" s="8"/>
      <c r="MR115" s="8"/>
      <c r="MS115" s="8"/>
      <c r="MT115" s="8"/>
      <c r="MU115" s="8"/>
      <c r="MV115" s="8"/>
      <c r="MW115" s="8"/>
      <c r="MX115" s="8"/>
      <c r="MY115" s="8"/>
      <c r="MZ115" s="8"/>
      <c r="NA115" s="8"/>
      <c r="NB115" s="8"/>
      <c r="NC115" s="8"/>
      <c r="ND115" s="8"/>
      <c r="NE115" s="8"/>
      <c r="NF115" s="8"/>
      <c r="NG115" s="8"/>
      <c r="NH115" s="8"/>
      <c r="NI115" s="8"/>
      <c r="NJ115" s="8"/>
      <c r="NK115" s="8"/>
      <c r="NL115" s="8"/>
      <c r="NM115" s="8"/>
      <c r="NN115" s="8"/>
      <c r="NO115" s="8"/>
      <c r="NP115" s="8"/>
      <c r="NQ115" s="8"/>
      <c r="NR115" s="8"/>
      <c r="NS115" s="8"/>
      <c r="NT115" s="8"/>
      <c r="NU115" s="8"/>
      <c r="NV115" s="8"/>
      <c r="NW115" s="8"/>
      <c r="NX115" s="8"/>
      <c r="NY115" s="8"/>
      <c r="NZ115" s="8"/>
      <c r="OA115" s="8"/>
      <c r="OB115" s="8"/>
      <c r="OC115" s="8"/>
      <c r="OD115" s="8"/>
      <c r="OE115" s="8"/>
      <c r="OF115" s="8"/>
      <c r="OG115" s="8"/>
      <c r="OH115" s="8"/>
      <c r="OI115" s="8"/>
      <c r="OJ115" s="8"/>
      <c r="OK115" s="8"/>
      <c r="OL115" s="8"/>
      <c r="OM115" s="8"/>
      <c r="ON115" s="8"/>
      <c r="OO115" s="8"/>
      <c r="OP115" s="8"/>
      <c r="OQ115" s="8"/>
      <c r="OR115" s="8"/>
      <c r="OS115" s="8"/>
      <c r="OT115" s="8"/>
      <c r="OU115" s="8"/>
      <c r="OV115" s="8"/>
      <c r="OW115" s="8"/>
      <c r="OX115" s="8"/>
      <c r="OY115" s="8"/>
      <c r="OZ115" s="8"/>
      <c r="PA115" s="8"/>
      <c r="PB115" s="8"/>
      <c r="PC115" s="8"/>
      <c r="PD115" s="8"/>
      <c r="PE115" s="8"/>
      <c r="PF115" s="8"/>
      <c r="PG115" s="8"/>
      <c r="PH115" s="8"/>
      <c r="PI115" s="8"/>
      <c r="PJ115" s="8"/>
      <c r="PK115" s="8"/>
      <c r="PL115" s="8"/>
      <c r="PM115" s="8"/>
      <c r="PN115" s="8"/>
      <c r="PO115" s="8"/>
      <c r="PP115" s="8"/>
      <c r="PQ115" s="8"/>
      <c r="PR115" s="8"/>
      <c r="PS115" s="8"/>
      <c r="PT115" s="8"/>
      <c r="PU115" s="8"/>
      <c r="PV115" s="8"/>
      <c r="PW115" s="8"/>
      <c r="PX115" s="8"/>
      <c r="PY115" s="8"/>
      <c r="PZ115" s="8"/>
      <c r="QA115" s="8"/>
      <c r="QB115" s="8"/>
      <c r="QC115" s="8"/>
      <c r="QD115" s="8"/>
      <c r="QE115" s="8"/>
      <c r="QF115" s="8"/>
      <c r="QG115" s="8"/>
      <c r="QH115" s="8"/>
      <c r="QI115" s="8"/>
      <c r="QJ115" s="8"/>
      <c r="QK115" s="8"/>
      <c r="QL115" s="8"/>
      <c r="QM115" s="8"/>
      <c r="QN115" s="8"/>
      <c r="QO115" s="8"/>
      <c r="QP115" s="8"/>
      <c r="QQ115" s="8"/>
      <c r="QR115" s="8"/>
      <c r="QS115" s="8"/>
      <c r="QT115" s="8"/>
      <c r="QU115" s="8"/>
      <c r="QV115" s="8"/>
      <c r="QW115" s="8"/>
      <c r="QX115" s="8"/>
      <c r="QY115" s="8"/>
      <c r="QZ115" s="8"/>
      <c r="RA115" s="8"/>
      <c r="RB115" s="8"/>
      <c r="RC115" s="8"/>
      <c r="RD115" s="8"/>
      <c r="RE115" s="8"/>
      <c r="RF115" s="8"/>
      <c r="RG115" s="8"/>
      <c r="RH115" s="8"/>
      <c r="RI115" s="8"/>
      <c r="RJ115" s="8"/>
      <c r="RK115" s="8"/>
      <c r="RL115" s="8"/>
      <c r="RM115" s="8"/>
      <c r="RN115" s="8"/>
      <c r="RO115" s="8"/>
      <c r="RP115" s="8"/>
      <c r="RQ115" s="8"/>
      <c r="RR115" s="8"/>
      <c r="RS115" s="8"/>
      <c r="RT115" s="8"/>
      <c r="RU115" s="8"/>
      <c r="RV115" s="8"/>
      <c r="RW115" s="8"/>
      <c r="RX115" s="8"/>
      <c r="RY115" s="8"/>
      <c r="RZ115" s="8"/>
      <c r="SA115" s="8"/>
      <c r="SB115" s="8"/>
      <c r="SC115" s="8"/>
      <c r="SD115" s="8"/>
      <c r="SE115" s="8"/>
      <c r="SF115" s="8"/>
      <c r="SG115" s="8"/>
      <c r="SH115" s="8"/>
      <c r="SI115" s="8"/>
      <c r="SJ115" s="8"/>
      <c r="SK115" s="8"/>
      <c r="SL115" s="8"/>
      <c r="SM115" s="8"/>
      <c r="SN115" s="8"/>
      <c r="SO115" s="8"/>
      <c r="SP115" s="8"/>
      <c r="SQ115" s="8"/>
      <c r="SR115" s="8"/>
      <c r="SS115" s="8"/>
      <c r="ST115" s="8"/>
      <c r="SU115" s="8"/>
      <c r="SV115" s="8"/>
      <c r="SW115" s="8"/>
      <c r="SX115" s="8"/>
      <c r="SY115" s="8"/>
      <c r="SZ115" s="8"/>
      <c r="TA115" s="8"/>
      <c r="TB115" s="8"/>
      <c r="TC115" s="8"/>
      <c r="TD115" s="8"/>
      <c r="TE115" s="8"/>
      <c r="TF115" s="8"/>
      <c r="TG115" s="8"/>
      <c r="TH115" s="8"/>
      <c r="TI115" s="8"/>
      <c r="TJ115" s="8"/>
      <c r="TK115" s="8"/>
      <c r="TL115" s="8"/>
      <c r="TM115" s="8"/>
      <c r="TN115" s="8"/>
      <c r="TO115" s="8"/>
      <c r="TP115" s="8"/>
      <c r="TQ115" s="8"/>
      <c r="TR115" s="8"/>
      <c r="TS115" s="8"/>
      <c r="TT115" s="8"/>
      <c r="TU115" s="8"/>
      <c r="TV115" s="8"/>
      <c r="TW115" s="8"/>
      <c r="TX115" s="8"/>
      <c r="TY115" s="8"/>
      <c r="TZ115" s="8"/>
      <c r="UA115" s="8"/>
      <c r="UB115" s="8"/>
      <c r="UC115" s="8"/>
      <c r="UD115" s="8"/>
      <c r="UE115" s="8"/>
      <c r="UF115" s="8"/>
      <c r="UG115" s="8"/>
      <c r="UH115" s="8"/>
      <c r="UI115" s="8"/>
      <c r="UJ115" s="8"/>
      <c r="UK115" s="8"/>
      <c r="UL115" s="8"/>
      <c r="UM115" s="8"/>
      <c r="UN115" s="8"/>
      <c r="UO115" s="8"/>
      <c r="UP115" s="8"/>
      <c r="UQ115" s="8"/>
      <c r="UR115" s="8"/>
      <c r="US115" s="8"/>
      <c r="UT115" s="8"/>
      <c r="UU115" s="8"/>
      <c r="UV115" s="8"/>
      <c r="UW115" s="8"/>
      <c r="UX115" s="8"/>
      <c r="UY115" s="8"/>
      <c r="UZ115" s="8"/>
      <c r="VA115" s="8"/>
      <c r="VB115" s="8"/>
      <c r="VC115" s="8"/>
      <c r="VD115" s="8"/>
      <c r="VE115" s="8"/>
      <c r="VF115" s="8"/>
      <c r="VG115" s="8"/>
      <c r="VH115" s="8"/>
      <c r="VI115" s="8"/>
      <c r="VJ115" s="8"/>
      <c r="VK115" s="8"/>
      <c r="VL115" s="8"/>
      <c r="VM115" s="8"/>
      <c r="VN115" s="8"/>
      <c r="VO115" s="8"/>
      <c r="VP115" s="8"/>
      <c r="VQ115" s="8"/>
      <c r="VR115" s="8"/>
      <c r="VS115" s="8"/>
      <c r="VT115" s="8"/>
      <c r="VU115" s="8"/>
      <c r="VV115" s="8"/>
      <c r="VW115" s="8"/>
      <c r="VX115" s="8"/>
      <c r="VY115" s="8"/>
      <c r="VZ115" s="8"/>
      <c r="WA115" s="8"/>
      <c r="WB115" s="8"/>
      <c r="WC115" s="8"/>
      <c r="WD115" s="8"/>
      <c r="WE115" s="8"/>
      <c r="WF115" s="8"/>
      <c r="WG115" s="8"/>
      <c r="WH115" s="8"/>
      <c r="WI115" s="8"/>
      <c r="WJ115" s="8"/>
      <c r="WK115" s="8"/>
      <c r="WL115" s="8"/>
      <c r="WM115" s="8"/>
      <c r="WN115" s="8"/>
      <c r="WO115" s="8"/>
      <c r="WP115" s="8"/>
      <c r="WQ115" s="8"/>
      <c r="WR115" s="8"/>
      <c r="WS115" s="8"/>
      <c r="WT115" s="8"/>
      <c r="WU115" s="8"/>
      <c r="WV115" s="8"/>
      <c r="WW115" s="8"/>
      <c r="WX115" s="8"/>
      <c r="WY115" s="8"/>
      <c r="WZ115" s="8"/>
      <c r="XA115" s="8"/>
      <c r="XB115" s="8"/>
      <c r="XC115" s="8"/>
      <c r="XD115" s="8"/>
      <c r="XE115" s="8"/>
      <c r="XF115" s="8"/>
      <c r="XG115" s="8"/>
      <c r="XH115" s="8"/>
      <c r="XI115" s="8"/>
      <c r="XJ115" s="8"/>
      <c r="XK115" s="8"/>
      <c r="XL115" s="8"/>
      <c r="XM115" s="8"/>
      <c r="XN115" s="8"/>
      <c r="XO115" s="8"/>
      <c r="XP115" s="8"/>
      <c r="XQ115" s="8"/>
      <c r="XR115" s="8"/>
      <c r="XS115" s="8"/>
      <c r="XT115" s="8"/>
      <c r="XU115" s="8"/>
      <c r="XV115" s="8"/>
      <c r="XW115" s="8"/>
      <c r="XX115" s="8"/>
      <c r="XY115" s="8"/>
      <c r="XZ115" s="8"/>
      <c r="YA115" s="8"/>
      <c r="YB115" s="8"/>
      <c r="YC115" s="8"/>
      <c r="YD115" s="8"/>
      <c r="YE115" s="8"/>
      <c r="YF115" s="8"/>
      <c r="YG115" s="8"/>
      <c r="YH115" s="8"/>
      <c r="YI115" s="8"/>
      <c r="YJ115" s="8"/>
      <c r="YK115" s="8"/>
      <c r="YL115" s="8"/>
      <c r="YM115" s="8"/>
      <c r="YN115" s="8"/>
      <c r="YO115" s="8"/>
      <c r="YP115" s="8"/>
      <c r="YQ115" s="8"/>
      <c r="YR115" s="8"/>
      <c r="YS115" s="8"/>
      <c r="YT115" s="8"/>
      <c r="YU115" s="8"/>
      <c r="YV115" s="8"/>
      <c r="YW115" s="8"/>
      <c r="YX115" s="8"/>
      <c r="YY115" s="8"/>
      <c r="YZ115" s="8"/>
      <c r="ZA115" s="8"/>
      <c r="ZB115" s="8"/>
      <c r="ZC115" s="8"/>
      <c r="ZD115" s="8"/>
      <c r="ZE115" s="8"/>
      <c r="ZF115" s="8"/>
      <c r="ZG115" s="8"/>
      <c r="ZH115" s="8"/>
      <c r="ZI115" s="8"/>
      <c r="ZJ115" s="8"/>
      <c r="ZK115" s="8"/>
      <c r="ZL115" s="8"/>
      <c r="ZM115" s="8"/>
      <c r="ZN115" s="8"/>
      <c r="ZO115" s="8"/>
      <c r="ZP115" s="8"/>
      <c r="ZQ115" s="8"/>
      <c r="ZR115" s="8"/>
      <c r="ZS115" s="8"/>
      <c r="ZT115" s="8"/>
      <c r="ZU115" s="8"/>
      <c r="ZV115" s="8"/>
      <c r="ZW115" s="8"/>
      <c r="ZX115" s="8"/>
      <c r="ZY115" s="8"/>
      <c r="ZZ115" s="8"/>
      <c r="AAA115" s="8"/>
      <c r="AAB115" s="8"/>
      <c r="AAC115" s="8"/>
      <c r="AAD115" s="8"/>
      <c r="AAE115" s="8"/>
      <c r="AAF115" s="8"/>
      <c r="AAG115" s="8"/>
      <c r="AAH115" s="8"/>
      <c r="AAI115" s="8"/>
      <c r="AAJ115" s="8"/>
      <c r="AAK115" s="8"/>
      <c r="AAL115" s="8"/>
      <c r="AAM115" s="8"/>
      <c r="AAN115" s="8"/>
      <c r="AAO115" s="8"/>
      <c r="AAP115" s="8"/>
      <c r="AAQ115" s="8"/>
      <c r="AAR115" s="8"/>
      <c r="AAS115" s="8"/>
      <c r="AAT115" s="8"/>
      <c r="AAU115" s="8"/>
      <c r="AAV115" s="8"/>
      <c r="AAW115" s="8"/>
      <c r="AAX115" s="8"/>
      <c r="AAY115" s="8"/>
      <c r="AAZ115" s="8"/>
      <c r="ABA115" s="8"/>
      <c r="ABB115" s="8"/>
      <c r="ABC115" s="8"/>
      <c r="ABD115" s="8"/>
      <c r="ABE115" s="8"/>
      <c r="ABF115" s="8"/>
      <c r="ABG115" s="8"/>
      <c r="ABH115" s="8"/>
      <c r="ABI115" s="8"/>
      <c r="ABJ115" s="8"/>
      <c r="ABK115" s="8"/>
      <c r="ABL115" s="8"/>
      <c r="ABM115" s="8"/>
      <c r="ABN115" s="8"/>
      <c r="ABO115" s="8"/>
      <c r="ABP115" s="8"/>
      <c r="ABQ115" s="8"/>
      <c r="ABR115" s="8"/>
      <c r="ABS115" s="8"/>
      <c r="ABT115" s="8"/>
      <c r="ABU115" s="8"/>
      <c r="ABV115" s="8"/>
      <c r="ABW115" s="8"/>
      <c r="ABX115" s="8"/>
      <c r="ABY115" s="8"/>
      <c r="ABZ115" s="8"/>
      <c r="ACA115" s="8"/>
      <c r="ACB115" s="8"/>
      <c r="ACC115" s="8"/>
      <c r="ACD115" s="8"/>
      <c r="ACE115" s="8"/>
      <c r="ACF115" s="8"/>
      <c r="ACG115" s="8"/>
      <c r="ACH115" s="8"/>
      <c r="ACI115" s="8"/>
      <c r="ACJ115" s="8"/>
      <c r="ACK115" s="8"/>
      <c r="ACL115" s="8"/>
      <c r="ACM115" s="8"/>
      <c r="ACN115" s="8"/>
      <c r="ACO115" s="8"/>
      <c r="ACP115" s="8"/>
      <c r="ACQ115" s="8"/>
      <c r="ACR115" s="8"/>
      <c r="ACS115" s="8"/>
      <c r="ACT115" s="8"/>
      <c r="ACU115" s="8"/>
      <c r="ACV115" s="8"/>
      <c r="ACW115" s="8"/>
      <c r="ACX115" s="8"/>
      <c r="ACY115" s="8"/>
      <c r="ACZ115" s="8"/>
      <c r="ADA115" s="8"/>
      <c r="ADB115" s="8"/>
      <c r="ADC115" s="8"/>
      <c r="ADD115" s="8"/>
      <c r="ADE115" s="8"/>
      <c r="ADF115" s="8"/>
      <c r="ADG115" s="8"/>
      <c r="ADH115" s="8"/>
      <c r="ADI115" s="8"/>
      <c r="ADJ115" s="8"/>
      <c r="ADK115" s="8"/>
      <c r="ADL115" s="8"/>
      <c r="ADM115" s="8"/>
      <c r="ADN115" s="8"/>
      <c r="ADO115" s="8"/>
      <c r="ADP115" s="8"/>
      <c r="ADQ115" s="8"/>
      <c r="ADR115" s="8"/>
      <c r="ADS115" s="8"/>
      <c r="ADT115" s="8"/>
      <c r="ADU115" s="8"/>
      <c r="ADV115" s="8"/>
      <c r="ADW115" s="8"/>
      <c r="ADX115" s="8"/>
      <c r="ADY115" s="8"/>
      <c r="ADZ115" s="8"/>
      <c r="AEA115" s="8"/>
      <c r="AEB115" s="8"/>
      <c r="AEC115" s="8"/>
      <c r="AED115" s="8"/>
      <c r="AEE115" s="8"/>
      <c r="AEF115" s="8"/>
      <c r="AEG115" s="8"/>
      <c r="AEH115" s="8"/>
      <c r="AEI115" s="8"/>
      <c r="AEJ115" s="8"/>
      <c r="AEK115" s="8"/>
      <c r="AEL115" s="8"/>
      <c r="AEM115" s="8"/>
      <c r="AEN115" s="8"/>
      <c r="AEO115" s="8"/>
      <c r="AEP115" s="8"/>
      <c r="AEQ115" s="8"/>
      <c r="AER115" s="8"/>
      <c r="AES115" s="8"/>
      <c r="AET115" s="8"/>
      <c r="AEU115" s="8"/>
      <c r="AEV115" s="8"/>
      <c r="AEW115" s="8"/>
      <c r="AEX115" s="8"/>
      <c r="AEY115" s="8"/>
      <c r="AEZ115" s="8"/>
      <c r="AFA115" s="8"/>
      <c r="AFB115" s="8"/>
      <c r="AFC115" s="8"/>
      <c r="AFD115" s="8"/>
      <c r="AFE115" s="8"/>
      <c r="AFF115" s="8"/>
      <c r="AFG115" s="8"/>
      <c r="AFH115" s="8"/>
      <c r="AFI115" s="8"/>
      <c r="AFJ115" s="8"/>
      <c r="AFK115" s="8"/>
      <c r="AFL115" s="8"/>
      <c r="AFM115" s="8"/>
      <c r="AFN115" s="8"/>
      <c r="AFO115" s="8"/>
      <c r="AFP115" s="8"/>
      <c r="AFQ115" s="8"/>
      <c r="AFR115" s="8"/>
      <c r="AFS115" s="8"/>
      <c r="AFT115" s="8"/>
      <c r="AFU115" s="8"/>
      <c r="AFV115" s="8"/>
      <c r="AFW115" s="8"/>
      <c r="AFX115" s="8"/>
      <c r="AFY115" s="8"/>
      <c r="AFZ115" s="8"/>
      <c r="AGA115" s="8"/>
      <c r="AGB115" s="8"/>
      <c r="AGC115" s="8"/>
      <c r="AGD115" s="8"/>
      <c r="AGE115" s="8"/>
      <c r="AGF115" s="8"/>
      <c r="AGG115" s="8"/>
      <c r="AGH115" s="8"/>
      <c r="AGI115" s="8"/>
      <c r="AGJ115" s="8"/>
      <c r="AGK115" s="8"/>
      <c r="AGL115" s="8"/>
      <c r="AGM115" s="8"/>
      <c r="AGN115" s="8"/>
      <c r="AGO115" s="8"/>
      <c r="AGP115" s="8"/>
      <c r="AGQ115" s="8"/>
      <c r="AGR115" s="8"/>
      <c r="AGS115" s="8"/>
      <c r="AGT115" s="8"/>
      <c r="AGU115" s="8"/>
      <c r="AGV115" s="8"/>
      <c r="AGW115" s="8"/>
      <c r="AGX115" s="8"/>
      <c r="AGY115" s="8"/>
      <c r="AGZ115" s="8"/>
      <c r="AHA115" s="8"/>
      <c r="AHB115" s="8"/>
      <c r="AHC115" s="8"/>
      <c r="AHD115" s="8"/>
      <c r="AHE115" s="8"/>
      <c r="AHF115" s="8"/>
      <c r="AHG115" s="8"/>
      <c r="AHH115" s="8"/>
      <c r="AHI115" s="8"/>
      <c r="AHJ115" s="8"/>
      <c r="AHK115" s="8"/>
      <c r="AHL115" s="8"/>
      <c r="AHM115" s="8"/>
      <c r="AHN115" s="8"/>
      <c r="AHO115" s="8"/>
      <c r="AHP115" s="8"/>
      <c r="AHQ115" s="8"/>
      <c r="AHR115" s="8"/>
      <c r="AHS115" s="8"/>
      <c r="AHT115" s="8"/>
      <c r="AHU115" s="8"/>
      <c r="AHV115" s="8"/>
      <c r="AHW115" s="8"/>
      <c r="AHX115" s="8"/>
      <c r="AHY115" s="8"/>
      <c r="AHZ115" s="8"/>
      <c r="AIA115" s="8"/>
      <c r="AIB115" s="8"/>
      <c r="AIC115" s="8"/>
      <c r="AID115" s="8"/>
      <c r="AIE115" s="8"/>
      <c r="AIF115" s="8"/>
      <c r="AIG115" s="8"/>
      <c r="AIH115" s="8"/>
      <c r="AII115" s="8"/>
      <c r="AIJ115" s="8"/>
      <c r="AIK115" s="8"/>
      <c r="AIL115" s="8"/>
      <c r="AIM115" s="8"/>
      <c r="AIN115" s="8"/>
      <c r="AIO115" s="8"/>
      <c r="AIP115" s="8"/>
      <c r="AIQ115" s="8"/>
      <c r="AIR115" s="8"/>
      <c r="AIS115" s="8"/>
      <c r="AIT115" s="8"/>
      <c r="AIU115" s="8"/>
      <c r="AIV115" s="8"/>
      <c r="AIW115" s="8"/>
      <c r="AIX115" s="8"/>
      <c r="AIY115" s="8"/>
      <c r="AIZ115" s="8"/>
      <c r="AJA115" s="8"/>
      <c r="AJB115" s="8"/>
      <c r="AJC115" s="8"/>
      <c r="AJD115" s="8"/>
      <c r="AJE115" s="8"/>
      <c r="AJF115" s="8"/>
      <c r="AJG115" s="8"/>
      <c r="AJH115" s="8"/>
      <c r="AJI115" s="8"/>
      <c r="AJJ115" s="8"/>
      <c r="AJK115" s="8"/>
      <c r="AJL115" s="8"/>
      <c r="AJM115" s="8"/>
      <c r="AJN115" s="8"/>
      <c r="AJO115" s="8"/>
      <c r="AJP115" s="8"/>
      <c r="AJQ115" s="8"/>
      <c r="AJR115" s="8"/>
      <c r="AJS115" s="8"/>
      <c r="AJT115" s="8"/>
      <c r="AJU115" s="8"/>
      <c r="AJV115" s="8"/>
      <c r="AJW115" s="8"/>
      <c r="AJX115" s="8"/>
      <c r="AJY115" s="8"/>
      <c r="AJZ115" s="8"/>
      <c r="AKA115" s="8"/>
      <c r="AKB115" s="8"/>
      <c r="AKC115" s="8"/>
      <c r="AKD115" s="8"/>
      <c r="AKE115" s="8"/>
      <c r="AKF115" s="8"/>
      <c r="AKG115" s="8"/>
      <c r="AKH115" s="8"/>
      <c r="AKI115" s="8"/>
      <c r="AKJ115" s="8"/>
      <c r="AKK115" s="8"/>
      <c r="AKL115" s="8"/>
      <c r="AKM115" s="8"/>
      <c r="AKN115" s="8"/>
      <c r="AKO115" s="8"/>
      <c r="AKP115" s="8"/>
      <c r="AKQ115" s="8"/>
      <c r="AKR115" s="8"/>
      <c r="AKS115" s="8"/>
      <c r="AKT115" s="8"/>
      <c r="AKU115" s="8"/>
      <c r="AKV115" s="8"/>
      <c r="AKW115" s="8"/>
      <c r="AKX115" s="8"/>
      <c r="AKY115" s="8"/>
      <c r="AKZ115" s="8"/>
      <c r="ALA115" s="8"/>
      <c r="ALB115" s="8"/>
      <c r="ALC115" s="8"/>
      <c r="ALD115" s="8"/>
      <c r="ALE115" s="8"/>
      <c r="ALF115" s="8"/>
      <c r="ALG115" s="8"/>
      <c r="ALH115" s="8"/>
      <c r="ALI115" s="8"/>
      <c r="ALJ115" s="8"/>
      <c r="ALK115" s="8"/>
      <c r="ALL115" s="8"/>
      <c r="ALM115" s="8"/>
      <c r="ALN115" s="8"/>
      <c r="ALO115" s="8"/>
      <c r="ALP115" s="8"/>
      <c r="ALQ115" s="8"/>
      <c r="ALR115" s="8"/>
      <c r="ALS115" s="8"/>
      <c r="ALT115" s="8"/>
      <c r="ALU115" s="8"/>
      <c r="ALV115" s="8"/>
      <c r="ALW115" s="8"/>
      <c r="ALX115" s="8"/>
      <c r="ALY115" s="8"/>
      <c r="ALZ115" s="8"/>
      <c r="AMA115" s="8"/>
      <c r="AMB115" s="8"/>
      <c r="AMC115" s="8"/>
      <c r="AMD115" s="8"/>
      <c r="AME115" s="8"/>
      <c r="AMF115" s="8"/>
      <c r="AMG115" s="8"/>
      <c r="AMH115" s="8"/>
      <c r="AMI115" s="8"/>
      <c r="AMJ115" s="8"/>
      <c r="AMK115" s="8"/>
      <c r="AML115" s="8"/>
      <c r="AMM115" s="8"/>
      <c r="AMN115" s="8"/>
      <c r="AMO115" s="8"/>
      <c r="AMP115" s="8"/>
      <c r="AMQ115" s="8"/>
      <c r="AMR115" s="8"/>
      <c r="AMS115" s="8"/>
      <c r="AMT115" s="8"/>
      <c r="AMU115" s="8"/>
      <c r="AMV115" s="8"/>
      <c r="AMW115" s="8"/>
      <c r="AMX115" s="8"/>
      <c r="AMY115" s="8"/>
      <c r="AMZ115" s="8"/>
      <c r="ANA115" s="8"/>
      <c r="ANB115" s="8"/>
      <c r="ANC115" s="8"/>
      <c r="AND115" s="8"/>
      <c r="ANE115" s="8"/>
      <c r="ANF115" s="8"/>
      <c r="ANG115" s="8"/>
      <c r="ANH115" s="8"/>
      <c r="ANI115" s="8"/>
      <c r="ANJ115" s="8"/>
      <c r="ANK115" s="8"/>
      <c r="ANL115" s="8"/>
      <c r="ANM115" s="8"/>
      <c r="ANN115" s="8"/>
      <c r="ANO115" s="8"/>
      <c r="ANP115" s="8"/>
      <c r="ANQ115" s="8"/>
      <c r="ANR115" s="8"/>
      <c r="ANS115" s="8"/>
      <c r="ANT115" s="8"/>
      <c r="ANU115" s="8"/>
      <c r="ANV115" s="8"/>
      <c r="ANW115" s="8"/>
      <c r="ANX115" s="8"/>
      <c r="ANY115" s="8"/>
      <c r="ANZ115" s="8"/>
      <c r="AOA115" s="8"/>
      <c r="AOB115" s="8"/>
      <c r="AOC115" s="8"/>
      <c r="AOD115" s="8"/>
      <c r="AOE115" s="8"/>
      <c r="AOF115" s="8"/>
      <c r="AOG115" s="8"/>
      <c r="AOH115" s="8"/>
      <c r="AOI115" s="8"/>
      <c r="AOJ115" s="8"/>
      <c r="AOK115" s="8"/>
      <c r="AOL115" s="8"/>
      <c r="AOM115" s="8"/>
      <c r="AON115" s="8"/>
      <c r="AOO115" s="8"/>
      <c r="AOP115" s="8"/>
      <c r="AOQ115" s="8"/>
      <c r="AOR115" s="8"/>
      <c r="AOS115" s="8"/>
      <c r="AOT115" s="8"/>
      <c r="AOU115" s="8"/>
      <c r="AOV115" s="8"/>
      <c r="AOW115" s="8"/>
      <c r="AOX115" s="8"/>
      <c r="AOY115" s="8"/>
      <c r="AOZ115" s="8"/>
      <c r="APA115" s="8"/>
      <c r="APB115" s="8"/>
      <c r="APC115" s="8"/>
      <c r="APD115" s="8"/>
      <c r="APE115" s="8"/>
      <c r="APF115" s="8"/>
      <c r="APG115" s="8"/>
      <c r="APH115" s="8"/>
      <c r="API115" s="8"/>
      <c r="APJ115" s="8"/>
      <c r="APK115" s="8"/>
      <c r="APL115" s="8"/>
      <c r="APM115" s="8"/>
      <c r="APN115" s="8"/>
      <c r="APO115" s="8"/>
      <c r="APP115" s="8"/>
      <c r="APQ115" s="8"/>
      <c r="APR115" s="8"/>
      <c r="APS115" s="8"/>
      <c r="APT115" s="8"/>
      <c r="APU115" s="8"/>
      <c r="APV115" s="8"/>
      <c r="APW115" s="8"/>
      <c r="APX115" s="8"/>
      <c r="APY115" s="8"/>
      <c r="APZ115" s="8"/>
      <c r="AQA115" s="8"/>
      <c r="AQB115" s="8"/>
      <c r="AQC115" s="8"/>
      <c r="AQD115" s="8"/>
      <c r="AQE115" s="8"/>
      <c r="AQF115" s="8"/>
      <c r="AQG115" s="8"/>
      <c r="AQH115" s="8"/>
      <c r="AQI115" s="8"/>
      <c r="AQJ115" s="8"/>
      <c r="AQK115" s="8"/>
      <c r="AQL115" s="8"/>
      <c r="AQM115" s="8"/>
      <c r="AQN115" s="8"/>
      <c r="AQO115" s="8"/>
      <c r="AQP115" s="8"/>
      <c r="AQQ115" s="8"/>
      <c r="AQR115" s="8"/>
      <c r="AQS115" s="8"/>
      <c r="AQT115" s="8"/>
      <c r="AQU115" s="8"/>
      <c r="AQV115" s="8"/>
      <c r="AQW115" s="8"/>
      <c r="AQX115" s="8"/>
      <c r="AQY115" s="8"/>
      <c r="AQZ115" s="8"/>
      <c r="ARA115" s="8"/>
      <c r="ARB115" s="8"/>
      <c r="ARC115" s="8"/>
      <c r="ARD115" s="8"/>
      <c r="ARE115" s="8"/>
      <c r="ARF115" s="8"/>
      <c r="ARG115" s="8"/>
      <c r="ARH115" s="8"/>
      <c r="ARI115" s="8"/>
      <c r="ARJ115" s="8"/>
      <c r="ARK115" s="8"/>
      <c r="ARL115" s="8"/>
      <c r="ARM115" s="8"/>
      <c r="ARN115" s="8"/>
      <c r="ARO115" s="8"/>
      <c r="ARP115" s="8"/>
      <c r="ARQ115" s="8"/>
      <c r="ARR115" s="8"/>
      <c r="ARS115" s="8"/>
      <c r="ART115" s="8"/>
      <c r="ARU115" s="8"/>
      <c r="ARV115" s="8"/>
      <c r="ARW115" s="8"/>
      <c r="ARX115" s="8"/>
      <c r="ARY115" s="8"/>
      <c r="ARZ115" s="8"/>
      <c r="ASA115" s="8"/>
      <c r="ASB115" s="8"/>
      <c r="ASC115" s="8"/>
      <c r="ASD115" s="8"/>
      <c r="ASE115" s="8"/>
      <c r="ASF115" s="8"/>
      <c r="ASG115" s="8"/>
      <c r="ASH115" s="8"/>
      <c r="ASI115" s="8"/>
      <c r="ASJ115" s="8"/>
      <c r="ASK115" s="8"/>
      <c r="ASL115" s="8"/>
      <c r="ASM115" s="8"/>
      <c r="ASN115" s="8"/>
      <c r="ASO115" s="8"/>
      <c r="ASP115" s="8"/>
      <c r="ASQ115" s="8"/>
      <c r="ASR115" s="8"/>
      <c r="ASS115" s="8"/>
      <c r="AST115" s="8"/>
      <c r="ASU115" s="8"/>
      <c r="ASV115" s="8"/>
      <c r="ASW115" s="8"/>
      <c r="ASX115" s="8"/>
      <c r="ASY115" s="8"/>
      <c r="ASZ115" s="8"/>
      <c r="ATA115" s="8"/>
      <c r="ATB115" s="8"/>
      <c r="ATC115" s="8"/>
      <c r="ATD115" s="8"/>
      <c r="ATE115" s="8"/>
      <c r="ATF115" s="8"/>
      <c r="ATG115" s="8"/>
      <c r="ATH115" s="8"/>
      <c r="ATI115" s="8"/>
      <c r="ATJ115" s="8"/>
      <c r="ATK115" s="8"/>
      <c r="ATL115" s="8"/>
      <c r="ATM115" s="8"/>
      <c r="ATN115" s="8"/>
      <c r="ATO115" s="8"/>
      <c r="ATP115" s="8"/>
      <c r="ATQ115" s="8"/>
      <c r="ATR115" s="8"/>
      <c r="ATS115" s="8"/>
      <c r="ATT115" s="8"/>
      <c r="ATU115" s="8"/>
      <c r="ATV115" s="8"/>
      <c r="ATW115" s="8"/>
      <c r="ATX115" s="8"/>
      <c r="ATY115" s="8"/>
      <c r="ATZ115" s="8"/>
      <c r="AUA115" s="8"/>
      <c r="AUB115" s="8"/>
      <c r="AUC115" s="8"/>
      <c r="AUD115" s="8"/>
      <c r="AUE115" s="8"/>
      <c r="AUF115" s="8"/>
      <c r="AUG115" s="8"/>
      <c r="AUH115" s="8"/>
      <c r="AUI115" s="8"/>
      <c r="AUJ115" s="8"/>
      <c r="AUK115" s="8"/>
      <c r="AUL115" s="8"/>
      <c r="AUM115" s="8"/>
      <c r="AUN115" s="8"/>
      <c r="AUO115" s="8"/>
      <c r="AUP115" s="8"/>
      <c r="AUQ115" s="8"/>
      <c r="AUR115" s="8"/>
      <c r="AUS115" s="8"/>
      <c r="AUT115" s="8"/>
      <c r="AUU115" s="8"/>
      <c r="AUV115" s="8"/>
      <c r="AUW115" s="8"/>
      <c r="AUX115" s="8"/>
      <c r="AUY115" s="8"/>
      <c r="AUZ115" s="8"/>
      <c r="AVA115" s="8"/>
      <c r="AVB115" s="8"/>
      <c r="AVC115" s="8"/>
      <c r="AVD115" s="8"/>
      <c r="AVE115" s="8"/>
      <c r="AVF115" s="8"/>
      <c r="AVG115" s="8"/>
      <c r="AVH115" s="8"/>
      <c r="AVI115" s="8"/>
      <c r="AVJ115" s="8"/>
      <c r="AVK115" s="8"/>
      <c r="AVL115" s="8"/>
      <c r="AVM115" s="8"/>
      <c r="AVN115" s="8"/>
      <c r="AVO115" s="8"/>
      <c r="AVP115" s="8"/>
      <c r="AVQ115" s="8"/>
      <c r="AVR115" s="8"/>
      <c r="AVS115" s="8"/>
      <c r="AVT115" s="8"/>
      <c r="AVU115" s="8"/>
      <c r="AVV115" s="8"/>
      <c r="AVW115" s="8"/>
      <c r="AVX115" s="8"/>
      <c r="AVY115" s="8"/>
      <c r="AVZ115" s="8"/>
      <c r="AWA115" s="8"/>
      <c r="AWB115" s="8"/>
      <c r="AWC115" s="8"/>
      <c r="AWD115" s="8"/>
      <c r="AWE115" s="8"/>
      <c r="AWF115" s="8"/>
      <c r="AWG115" s="8"/>
      <c r="AWH115" s="8"/>
      <c r="AWI115" s="8"/>
      <c r="AWJ115" s="8"/>
      <c r="AWK115" s="8"/>
      <c r="AWL115" s="8"/>
      <c r="AWM115" s="8"/>
      <c r="AWN115" s="8"/>
      <c r="AWO115" s="8"/>
      <c r="AWP115" s="8"/>
      <c r="AWQ115" s="8"/>
      <c r="AWR115" s="8"/>
      <c r="AWS115" s="8"/>
      <c r="AWT115" s="8"/>
      <c r="AWU115" s="8"/>
      <c r="AWV115" s="8"/>
      <c r="AWW115" s="8"/>
      <c r="AWX115" s="8"/>
      <c r="AWY115" s="8"/>
      <c r="AWZ115" s="8"/>
      <c r="AXA115" s="8"/>
      <c r="AXB115" s="8"/>
      <c r="AXC115" s="8"/>
      <c r="AXD115" s="8"/>
      <c r="AXE115" s="8"/>
      <c r="AXF115" s="8"/>
      <c r="AXG115" s="8"/>
      <c r="AXH115" s="8"/>
      <c r="AXI115" s="8"/>
      <c r="AXJ115" s="8"/>
      <c r="AXK115" s="8"/>
      <c r="AXL115" s="8"/>
      <c r="AXM115" s="8"/>
      <c r="AXN115" s="8"/>
      <c r="AXO115" s="8"/>
      <c r="AXP115" s="8"/>
      <c r="AXQ115" s="8"/>
      <c r="AXR115" s="8"/>
      <c r="AXS115" s="8"/>
      <c r="AXT115" s="8"/>
      <c r="AXU115" s="8"/>
      <c r="AXV115" s="8"/>
      <c r="AXW115" s="8"/>
      <c r="AXX115" s="8"/>
      <c r="AXY115" s="8"/>
      <c r="AXZ115" s="8"/>
      <c r="AYA115" s="8"/>
      <c r="AYB115" s="8"/>
      <c r="AYC115" s="8"/>
      <c r="AYD115" s="8"/>
      <c r="AYE115" s="8"/>
      <c r="AYF115" s="8"/>
      <c r="AYG115" s="8"/>
      <c r="AYH115" s="8"/>
      <c r="AYI115" s="8"/>
      <c r="AYJ115" s="8"/>
      <c r="AYK115" s="8"/>
      <c r="AYL115" s="8"/>
      <c r="AYM115" s="8"/>
      <c r="AYN115" s="8"/>
      <c r="AYO115" s="8"/>
      <c r="AYP115" s="8"/>
      <c r="AYQ115" s="8"/>
      <c r="AYR115" s="8"/>
      <c r="AYS115" s="8"/>
      <c r="AYT115" s="8"/>
      <c r="AYU115" s="8"/>
      <c r="AYV115" s="8"/>
      <c r="AYW115" s="8"/>
      <c r="AYX115" s="8"/>
      <c r="AYY115" s="8"/>
      <c r="AYZ115" s="8"/>
      <c r="AZA115" s="8"/>
      <c r="AZB115" s="8"/>
      <c r="AZC115" s="8"/>
      <c r="AZD115" s="8"/>
      <c r="AZE115" s="8"/>
      <c r="AZF115" s="8"/>
      <c r="AZG115" s="8"/>
      <c r="AZH115" s="8"/>
      <c r="AZI115" s="8"/>
      <c r="AZJ115" s="8"/>
      <c r="AZK115" s="8"/>
      <c r="AZL115" s="8"/>
      <c r="AZM115" s="8"/>
      <c r="AZN115" s="8"/>
      <c r="AZO115" s="8"/>
      <c r="AZP115" s="8"/>
      <c r="AZQ115" s="8"/>
      <c r="AZR115" s="8"/>
      <c r="AZS115" s="8"/>
      <c r="AZT115" s="8"/>
      <c r="AZU115" s="8"/>
      <c r="AZV115" s="8"/>
      <c r="AZW115" s="8"/>
      <c r="AZX115" s="8"/>
      <c r="AZY115" s="8"/>
      <c r="AZZ115" s="8"/>
      <c r="BAA115" s="8"/>
      <c r="BAB115" s="8"/>
      <c r="BAC115" s="8"/>
      <c r="BAD115" s="8"/>
      <c r="BAE115" s="8"/>
      <c r="BAF115" s="8"/>
      <c r="BAG115" s="8"/>
      <c r="BAH115" s="8"/>
      <c r="BAI115" s="8"/>
      <c r="BAJ115" s="8"/>
      <c r="BAK115" s="8"/>
      <c r="BAL115" s="8"/>
      <c r="BAM115" s="8"/>
      <c r="BAN115" s="8"/>
      <c r="BAO115" s="8"/>
      <c r="BAP115" s="8"/>
      <c r="BAQ115" s="8"/>
      <c r="BAR115" s="8"/>
      <c r="BAS115" s="8"/>
      <c r="BAT115" s="8"/>
      <c r="BAU115" s="8"/>
      <c r="BAV115" s="8"/>
      <c r="BAW115" s="8"/>
      <c r="BAX115" s="8"/>
      <c r="BAY115" s="8"/>
      <c r="BAZ115" s="8"/>
      <c r="BBA115" s="8"/>
      <c r="BBB115" s="8"/>
      <c r="BBC115" s="8"/>
      <c r="BBD115" s="8"/>
      <c r="BBE115" s="8"/>
      <c r="BBF115" s="8"/>
      <c r="BBG115" s="8"/>
      <c r="BBH115" s="8"/>
      <c r="BBI115" s="8"/>
      <c r="BBJ115" s="8"/>
      <c r="BBK115" s="8"/>
      <c r="BBL115" s="8"/>
      <c r="BBM115" s="8"/>
      <c r="BBN115" s="8"/>
      <c r="BBO115" s="8"/>
      <c r="BBP115" s="8"/>
      <c r="BBQ115" s="8"/>
      <c r="BBR115" s="8"/>
      <c r="BBS115" s="8"/>
      <c r="BBT115" s="8"/>
      <c r="BBU115" s="8"/>
      <c r="BBV115" s="8"/>
      <c r="BBW115" s="8"/>
      <c r="BBX115" s="8"/>
      <c r="BBY115" s="8"/>
      <c r="BBZ115" s="8"/>
      <c r="BCA115" s="8"/>
      <c r="BCB115" s="8"/>
      <c r="BCC115" s="8"/>
      <c r="BCD115" s="8"/>
      <c r="BCE115" s="8"/>
      <c r="BCF115" s="8"/>
      <c r="BCG115" s="8"/>
      <c r="BCH115" s="8"/>
      <c r="BCI115" s="8"/>
      <c r="BCJ115" s="8"/>
      <c r="BCK115" s="8"/>
      <c r="BCL115" s="8"/>
      <c r="BCM115" s="8"/>
      <c r="BCN115" s="8"/>
      <c r="BCO115" s="8"/>
      <c r="BCP115" s="8"/>
      <c r="BCQ115" s="8"/>
      <c r="BCR115" s="8"/>
      <c r="BCS115" s="8"/>
      <c r="BCT115" s="8"/>
      <c r="BCU115" s="8"/>
      <c r="BCV115" s="8"/>
      <c r="BCW115" s="8"/>
      <c r="BCX115" s="8"/>
      <c r="BCY115" s="8"/>
      <c r="BCZ115" s="8"/>
      <c r="BDA115" s="8"/>
      <c r="BDB115" s="8"/>
      <c r="BDC115" s="8"/>
      <c r="BDD115" s="8"/>
      <c r="BDE115" s="8"/>
      <c r="BDF115" s="8"/>
      <c r="BDG115" s="8"/>
      <c r="BDH115" s="8"/>
      <c r="BDI115" s="8"/>
      <c r="BDJ115" s="8"/>
      <c r="BDK115" s="8"/>
      <c r="BDL115" s="8"/>
      <c r="BDM115" s="8"/>
      <c r="BDN115" s="8"/>
      <c r="BDO115" s="8"/>
      <c r="BDP115" s="8"/>
      <c r="BDQ115" s="8"/>
      <c r="BDR115" s="8"/>
      <c r="BDS115" s="8"/>
      <c r="BDT115" s="8"/>
      <c r="BDU115" s="8"/>
      <c r="BDV115" s="8"/>
      <c r="BDW115" s="8"/>
      <c r="BDX115" s="8"/>
      <c r="BDY115" s="8"/>
      <c r="BDZ115" s="8"/>
      <c r="BEA115" s="8"/>
      <c r="BEB115" s="8"/>
      <c r="BEC115" s="8"/>
      <c r="BED115" s="8"/>
      <c r="BEE115" s="8"/>
      <c r="BEF115" s="8"/>
      <c r="BEG115" s="8"/>
      <c r="BEH115" s="8"/>
      <c r="BEI115" s="8"/>
      <c r="BEJ115" s="8"/>
      <c r="BEK115" s="8"/>
      <c r="BEL115" s="8"/>
      <c r="BEM115" s="8"/>
      <c r="BEN115" s="8"/>
      <c r="BEO115" s="8"/>
      <c r="BEP115" s="8"/>
      <c r="BEQ115" s="8"/>
      <c r="BER115" s="8"/>
      <c r="BES115" s="8"/>
      <c r="BET115" s="8"/>
      <c r="BEU115" s="8"/>
      <c r="BEV115" s="8"/>
      <c r="BEW115" s="8"/>
      <c r="BEX115" s="8"/>
      <c r="BEY115" s="8"/>
      <c r="BEZ115" s="8"/>
      <c r="BFA115" s="8"/>
      <c r="BFB115" s="8"/>
      <c r="BFC115" s="8"/>
      <c r="BFD115" s="8"/>
      <c r="BFE115" s="8"/>
      <c r="BFF115" s="8"/>
      <c r="BFG115" s="8"/>
      <c r="BFH115" s="8"/>
      <c r="BFI115" s="8"/>
      <c r="BFJ115" s="8"/>
      <c r="BFK115" s="8"/>
      <c r="BFL115" s="8"/>
      <c r="BFM115" s="8"/>
      <c r="BFN115" s="8"/>
      <c r="BFO115" s="8"/>
      <c r="BFP115" s="8"/>
      <c r="BFQ115" s="8"/>
      <c r="BFR115" s="8"/>
      <c r="BFS115" s="8"/>
      <c r="BFT115" s="8"/>
      <c r="BFU115" s="8"/>
      <c r="BFV115" s="8"/>
      <c r="BFW115" s="8"/>
      <c r="BFX115" s="8"/>
      <c r="BFY115" s="8"/>
      <c r="BFZ115" s="8"/>
      <c r="BGA115" s="8"/>
      <c r="BGB115" s="8"/>
      <c r="BGC115" s="8"/>
      <c r="BGD115" s="8"/>
      <c r="BGE115" s="8"/>
      <c r="BGF115" s="8"/>
      <c r="BGG115" s="8"/>
      <c r="BGH115" s="8"/>
      <c r="BGI115" s="8"/>
      <c r="BGJ115" s="8"/>
      <c r="BGK115" s="8"/>
      <c r="BGL115" s="8"/>
      <c r="BGM115" s="8"/>
      <c r="BGN115" s="8"/>
      <c r="BGO115" s="8"/>
      <c r="BGP115" s="8"/>
      <c r="BGQ115" s="8"/>
      <c r="BGR115" s="8"/>
      <c r="BGS115" s="8"/>
      <c r="BGT115" s="8"/>
      <c r="BGU115" s="8"/>
      <c r="BGV115" s="8"/>
      <c r="BGW115" s="8"/>
      <c r="BGX115" s="8"/>
      <c r="BGY115" s="8"/>
      <c r="BGZ115" s="8"/>
      <c r="BHA115" s="8"/>
      <c r="BHB115" s="8"/>
      <c r="BHC115" s="8"/>
      <c r="BHD115" s="8"/>
      <c r="BHE115" s="8"/>
      <c r="BHF115" s="8"/>
      <c r="BHG115" s="8"/>
      <c r="BHH115" s="8"/>
      <c r="BHI115" s="8"/>
      <c r="BHJ115" s="8"/>
      <c r="BHK115" s="8"/>
      <c r="BHL115" s="8"/>
      <c r="BHM115" s="8"/>
      <c r="BHN115" s="8"/>
      <c r="BHO115" s="8"/>
      <c r="BHP115" s="8"/>
      <c r="BHQ115" s="8"/>
      <c r="BHR115" s="8"/>
      <c r="BHS115" s="8"/>
      <c r="BHT115" s="8"/>
      <c r="BHU115" s="8"/>
      <c r="BHV115" s="8"/>
      <c r="BHW115" s="8"/>
      <c r="BHX115" s="8"/>
      <c r="BHY115" s="8"/>
      <c r="BHZ115" s="8"/>
      <c r="BIA115" s="8"/>
      <c r="BIB115" s="8"/>
      <c r="BIC115" s="8"/>
      <c r="BID115" s="8"/>
      <c r="BIE115" s="8"/>
      <c r="BIF115" s="8"/>
      <c r="BIG115" s="8"/>
      <c r="BIH115" s="8"/>
      <c r="BII115" s="8"/>
      <c r="BIJ115" s="8"/>
      <c r="BIK115" s="8"/>
      <c r="BIL115" s="8"/>
      <c r="BIM115" s="8"/>
      <c r="BIN115" s="8"/>
      <c r="BIO115" s="8"/>
      <c r="BIP115" s="8"/>
      <c r="BIQ115" s="8"/>
      <c r="BIR115" s="8"/>
      <c r="BIS115" s="8"/>
      <c r="BIT115" s="8"/>
      <c r="BIU115" s="8"/>
      <c r="BIV115" s="8"/>
      <c r="BIW115" s="8"/>
      <c r="BIX115" s="8"/>
      <c r="BIY115" s="8"/>
      <c r="BIZ115" s="8"/>
      <c r="BJA115" s="8"/>
      <c r="BJB115" s="8"/>
      <c r="BJC115" s="8"/>
      <c r="BJD115" s="8"/>
      <c r="BJE115" s="8"/>
      <c r="BJF115" s="8"/>
      <c r="BJG115" s="8"/>
      <c r="BJH115" s="8"/>
      <c r="BJI115" s="8"/>
      <c r="BJJ115" s="8"/>
      <c r="BJK115" s="8"/>
      <c r="BJL115" s="8"/>
      <c r="BJM115" s="8"/>
      <c r="BJN115" s="8"/>
      <c r="BJO115" s="8"/>
      <c r="BJP115" s="8"/>
      <c r="BJQ115" s="8"/>
      <c r="BJR115" s="8"/>
      <c r="BJS115" s="8"/>
      <c r="BJT115" s="8"/>
      <c r="BJU115" s="8"/>
      <c r="BJV115" s="8"/>
      <c r="BJW115" s="8"/>
      <c r="BJX115" s="8"/>
      <c r="BJY115" s="8"/>
      <c r="BJZ115" s="8"/>
      <c r="BKA115" s="8"/>
      <c r="BKB115" s="8"/>
      <c r="BKC115" s="8"/>
      <c r="BKD115" s="8"/>
      <c r="BKE115" s="8"/>
      <c r="BKF115" s="8"/>
      <c r="BKG115" s="8"/>
      <c r="BKH115" s="8"/>
      <c r="BKI115" s="8"/>
      <c r="BKJ115" s="8"/>
      <c r="BKK115" s="8"/>
      <c r="BKL115" s="8"/>
      <c r="BKM115" s="8"/>
      <c r="BKN115" s="8"/>
      <c r="BKO115" s="8"/>
      <c r="BKP115" s="8"/>
      <c r="BKQ115" s="8"/>
      <c r="BKR115" s="8"/>
      <c r="BKS115" s="8"/>
      <c r="BKT115" s="8"/>
      <c r="BKU115" s="8"/>
      <c r="BKV115" s="8"/>
      <c r="BKW115" s="8"/>
      <c r="BKX115" s="8"/>
      <c r="BKY115" s="8"/>
      <c r="BKZ115" s="8"/>
      <c r="BLA115" s="8"/>
      <c r="BLB115" s="8"/>
      <c r="BLC115" s="8"/>
      <c r="BLD115" s="8"/>
      <c r="BLE115" s="8"/>
      <c r="BLF115" s="8"/>
      <c r="BLG115" s="8"/>
      <c r="BLH115" s="8"/>
      <c r="BLI115" s="8"/>
      <c r="BLJ115" s="8"/>
      <c r="BLK115" s="8"/>
      <c r="BLL115" s="8"/>
      <c r="BLM115" s="8"/>
      <c r="BLN115" s="8"/>
      <c r="BLO115" s="8"/>
      <c r="BLP115" s="8"/>
      <c r="BLQ115" s="8"/>
      <c r="BLR115" s="8"/>
      <c r="BLS115" s="8"/>
      <c r="BLT115" s="8"/>
      <c r="BLU115" s="8"/>
      <c r="BLV115" s="8"/>
      <c r="BLW115" s="8"/>
      <c r="BLX115" s="8"/>
      <c r="BLY115" s="8"/>
      <c r="BLZ115" s="8"/>
      <c r="BMA115" s="8"/>
      <c r="BMB115" s="8"/>
      <c r="BMC115" s="8"/>
      <c r="BMD115" s="8"/>
      <c r="BME115" s="8"/>
      <c r="BMF115" s="8"/>
      <c r="BMG115" s="8"/>
      <c r="BMH115" s="8"/>
      <c r="BMI115" s="8"/>
      <c r="BMJ115" s="8"/>
      <c r="BMK115" s="8"/>
      <c r="BML115" s="8"/>
      <c r="BMM115" s="8"/>
      <c r="BMN115" s="8"/>
      <c r="BMO115" s="8"/>
      <c r="BMP115" s="8"/>
      <c r="BMQ115" s="8"/>
      <c r="BMR115" s="8"/>
      <c r="BMS115" s="8"/>
      <c r="BMT115" s="8"/>
      <c r="BMU115" s="8"/>
      <c r="BMV115" s="8"/>
      <c r="BMW115" s="8"/>
      <c r="BMX115" s="8"/>
      <c r="BMY115" s="8"/>
      <c r="BMZ115" s="8"/>
      <c r="BNA115" s="8"/>
      <c r="BNB115" s="8"/>
      <c r="BNC115" s="8"/>
      <c r="BND115" s="8"/>
      <c r="BNE115" s="8"/>
      <c r="BNF115" s="8"/>
      <c r="BNG115" s="8"/>
      <c r="BNH115" s="8"/>
      <c r="BNI115" s="8"/>
      <c r="BNJ115" s="8"/>
      <c r="BNK115" s="8"/>
      <c r="BNL115" s="8"/>
      <c r="BNM115" s="8"/>
      <c r="BNN115" s="8"/>
      <c r="BNO115" s="8"/>
      <c r="BNP115" s="8"/>
      <c r="BNQ115" s="8"/>
      <c r="BNR115" s="8"/>
      <c r="BNS115" s="8"/>
      <c r="BNT115" s="8"/>
      <c r="BNU115" s="8"/>
      <c r="BNV115" s="8"/>
      <c r="BNW115" s="8"/>
      <c r="BNX115" s="8"/>
      <c r="BNY115" s="8"/>
      <c r="BNZ115" s="8"/>
      <c r="BOA115" s="8"/>
      <c r="BOB115" s="8"/>
      <c r="BOC115" s="8"/>
      <c r="BOD115" s="8"/>
      <c r="BOE115" s="8"/>
      <c r="BOF115" s="8"/>
      <c r="BOG115" s="8"/>
      <c r="BOH115" s="8"/>
      <c r="BOI115" s="8"/>
      <c r="BOJ115" s="8"/>
      <c r="BOK115" s="8"/>
      <c r="BOL115" s="8"/>
      <c r="BOM115" s="8"/>
      <c r="BON115" s="8"/>
      <c r="BOO115" s="8"/>
      <c r="BOP115" s="8"/>
      <c r="BOQ115" s="8"/>
      <c r="BOR115" s="8"/>
      <c r="BOS115" s="8"/>
      <c r="BOT115" s="8"/>
      <c r="BOU115" s="8"/>
      <c r="BOV115" s="8"/>
      <c r="BOW115" s="8"/>
      <c r="BOX115" s="8"/>
      <c r="BOY115" s="8"/>
      <c r="BOZ115" s="8"/>
      <c r="BPA115" s="8"/>
      <c r="BPB115" s="8"/>
      <c r="BPC115" s="8"/>
      <c r="BPD115" s="8"/>
      <c r="BPE115" s="8"/>
      <c r="BPF115" s="8"/>
      <c r="BPG115" s="8"/>
      <c r="BPH115" s="8"/>
      <c r="BPI115" s="8"/>
      <c r="BPJ115" s="8"/>
      <c r="BPK115" s="8"/>
      <c r="BPL115" s="8"/>
      <c r="BPM115" s="8"/>
      <c r="BPN115" s="8"/>
      <c r="BPO115" s="8"/>
      <c r="BPP115" s="8"/>
      <c r="BPQ115" s="8"/>
      <c r="BPR115" s="8"/>
      <c r="BPS115" s="8"/>
      <c r="BPT115" s="8"/>
      <c r="BPU115" s="8"/>
      <c r="BPV115" s="8"/>
      <c r="BPW115" s="8"/>
      <c r="BPX115" s="8"/>
      <c r="BPY115" s="8"/>
      <c r="BPZ115" s="8"/>
      <c r="BQA115" s="8"/>
      <c r="BQB115" s="8"/>
      <c r="BQC115" s="8"/>
      <c r="BQD115" s="8"/>
      <c r="BQE115" s="8"/>
      <c r="BQF115" s="8"/>
      <c r="BQG115" s="8"/>
      <c r="BQH115" s="8"/>
      <c r="BQI115" s="8"/>
      <c r="BQJ115" s="8"/>
      <c r="BQK115" s="8"/>
      <c r="BQL115" s="8"/>
      <c r="BQM115" s="8"/>
      <c r="BQN115" s="8"/>
      <c r="BQO115" s="8"/>
      <c r="BQP115" s="8"/>
      <c r="BQQ115" s="8"/>
      <c r="BQR115" s="8"/>
      <c r="BQS115" s="8"/>
      <c r="BQT115" s="8"/>
      <c r="BQU115" s="8"/>
      <c r="BQV115" s="8"/>
      <c r="BQW115" s="8"/>
      <c r="BQX115" s="8"/>
      <c r="BQY115" s="8"/>
      <c r="BQZ115" s="8"/>
      <c r="BRA115" s="8"/>
      <c r="BRB115" s="8"/>
      <c r="BRC115" s="8"/>
      <c r="BRD115" s="8"/>
      <c r="BRE115" s="8"/>
      <c r="BRF115" s="8"/>
      <c r="BRG115" s="8"/>
      <c r="BRH115" s="8"/>
      <c r="BRI115" s="8"/>
      <c r="BRJ115" s="8"/>
      <c r="BRK115" s="8"/>
      <c r="BRL115" s="8"/>
      <c r="BRM115" s="8"/>
      <c r="BRN115" s="8"/>
      <c r="BRO115" s="8"/>
      <c r="BRP115" s="8"/>
      <c r="BRQ115" s="8"/>
      <c r="BRR115" s="8"/>
      <c r="BRS115" s="8"/>
      <c r="BRT115" s="8"/>
      <c r="BRU115" s="8"/>
      <c r="BRV115" s="8"/>
      <c r="BRW115" s="8"/>
      <c r="BRX115" s="8"/>
      <c r="BRY115" s="8"/>
      <c r="BRZ115" s="8"/>
      <c r="BSA115" s="8"/>
      <c r="BSB115" s="8"/>
      <c r="BSC115" s="8"/>
      <c r="BSD115" s="8"/>
      <c r="BSE115" s="8"/>
      <c r="BSF115" s="8"/>
      <c r="BSG115" s="8"/>
      <c r="BSH115" s="8"/>
      <c r="BSI115" s="8"/>
      <c r="BSJ115" s="8"/>
      <c r="BSK115" s="8"/>
      <c r="BSL115" s="8"/>
      <c r="BSM115" s="8"/>
      <c r="BSN115" s="8"/>
      <c r="BSO115" s="8"/>
      <c r="BSP115" s="8"/>
      <c r="BSQ115" s="8"/>
      <c r="BSR115" s="8"/>
      <c r="BSS115" s="8"/>
      <c r="BST115" s="8"/>
      <c r="BSU115" s="8"/>
      <c r="BSV115" s="8"/>
      <c r="BSW115" s="8"/>
      <c r="BSX115" s="8"/>
      <c r="BSY115" s="8"/>
      <c r="BSZ115" s="8"/>
      <c r="BTA115" s="8"/>
      <c r="BTB115" s="8"/>
      <c r="BTC115" s="8"/>
      <c r="BTD115" s="8"/>
      <c r="BTE115" s="8"/>
      <c r="BTF115" s="8"/>
      <c r="BTG115" s="8"/>
      <c r="BTH115" s="8"/>
      <c r="BTI115" s="8"/>
      <c r="BTJ115" s="8"/>
      <c r="BTK115" s="8"/>
      <c r="BTL115" s="8"/>
      <c r="BTM115" s="8"/>
      <c r="BTN115" s="8"/>
      <c r="BTO115" s="8"/>
      <c r="BTP115" s="8"/>
      <c r="BTQ115" s="8"/>
      <c r="BTR115" s="8"/>
      <c r="BTS115" s="8"/>
      <c r="BTT115" s="8"/>
      <c r="BTU115" s="8"/>
      <c r="BTV115" s="8"/>
      <c r="BTW115" s="8"/>
      <c r="BTX115" s="8"/>
      <c r="BTY115" s="8"/>
      <c r="BTZ115" s="8"/>
      <c r="BUA115" s="8"/>
      <c r="BUB115" s="8"/>
      <c r="BUC115" s="8"/>
      <c r="BUD115" s="8"/>
      <c r="BUE115" s="8"/>
      <c r="BUF115" s="8"/>
      <c r="BUG115" s="8"/>
      <c r="BUH115" s="8"/>
      <c r="BUI115" s="8"/>
      <c r="BUJ115" s="8"/>
      <c r="BUK115" s="8"/>
      <c r="BUL115" s="8"/>
      <c r="BUM115" s="8"/>
      <c r="BUN115" s="8"/>
      <c r="BUO115" s="8"/>
      <c r="BUP115" s="8"/>
      <c r="BUQ115" s="8"/>
      <c r="BUR115" s="8"/>
      <c r="BUS115" s="8"/>
      <c r="BUT115" s="8"/>
      <c r="BUU115" s="8"/>
      <c r="BUV115" s="8"/>
      <c r="BUW115" s="8"/>
      <c r="BUX115" s="8"/>
      <c r="BUY115" s="8"/>
      <c r="BUZ115" s="8"/>
      <c r="BVA115" s="8"/>
      <c r="BVB115" s="8"/>
      <c r="BVC115" s="8"/>
      <c r="BVD115" s="8"/>
      <c r="BVE115" s="8"/>
      <c r="BVF115" s="8"/>
      <c r="BVG115" s="8"/>
      <c r="BVH115" s="8"/>
      <c r="BVI115" s="8"/>
      <c r="BVJ115" s="8"/>
      <c r="BVK115" s="8"/>
      <c r="BVL115" s="8"/>
      <c r="BVM115" s="8"/>
      <c r="BVN115" s="8"/>
      <c r="BVO115" s="8"/>
      <c r="BVP115" s="8"/>
      <c r="BVQ115" s="8"/>
      <c r="BVR115" s="8"/>
      <c r="BVS115" s="8"/>
      <c r="BVT115" s="8"/>
      <c r="BVU115" s="8"/>
      <c r="BVV115" s="8"/>
      <c r="BVW115" s="8"/>
      <c r="BVX115" s="8"/>
      <c r="BVY115" s="8"/>
      <c r="BVZ115" s="8"/>
      <c r="BWA115" s="8"/>
      <c r="BWB115" s="8"/>
      <c r="BWC115" s="8"/>
      <c r="BWD115" s="8"/>
      <c r="BWE115" s="8"/>
      <c r="BWF115" s="8"/>
      <c r="BWG115" s="8"/>
      <c r="BWH115" s="8"/>
      <c r="BWI115" s="8"/>
      <c r="BWJ115" s="8"/>
      <c r="BWK115" s="8"/>
      <c r="BWL115" s="8"/>
      <c r="BWM115" s="8"/>
      <c r="BWN115" s="8"/>
      <c r="BWO115" s="8"/>
      <c r="BWP115" s="8"/>
      <c r="BWQ115" s="8"/>
      <c r="BWR115" s="8"/>
      <c r="BWS115" s="8"/>
      <c r="BWT115" s="8"/>
      <c r="BWU115" s="8"/>
      <c r="BWV115" s="8"/>
      <c r="BWW115" s="8"/>
      <c r="BWX115" s="8"/>
      <c r="BWY115" s="8"/>
      <c r="BWZ115" s="8"/>
      <c r="BXA115" s="8"/>
      <c r="BXB115" s="8"/>
      <c r="BXC115" s="8"/>
      <c r="BXD115" s="8"/>
      <c r="BXE115" s="8"/>
      <c r="BXF115" s="8"/>
      <c r="BXG115" s="8"/>
      <c r="BXH115" s="8"/>
      <c r="BXI115" s="8"/>
      <c r="BXJ115" s="8"/>
      <c r="BXK115" s="8"/>
      <c r="BXL115" s="8"/>
      <c r="BXM115" s="8"/>
      <c r="BXN115" s="8"/>
      <c r="BXO115" s="8"/>
      <c r="BXP115" s="8"/>
      <c r="BXQ115" s="8"/>
      <c r="BXR115" s="8"/>
      <c r="BXS115" s="8"/>
      <c r="BXT115" s="8"/>
      <c r="BXU115" s="8"/>
      <c r="BXV115" s="8"/>
      <c r="BXW115" s="8"/>
      <c r="BXX115" s="8"/>
      <c r="BXY115" s="8"/>
      <c r="BXZ115" s="8"/>
      <c r="BYA115" s="8"/>
      <c r="BYB115" s="8"/>
      <c r="BYC115" s="8"/>
      <c r="BYD115" s="8"/>
      <c r="BYE115" s="8"/>
      <c r="BYF115" s="8"/>
      <c r="BYG115" s="8"/>
      <c r="BYH115" s="8"/>
      <c r="BYI115" s="8"/>
      <c r="BYJ115" s="8"/>
      <c r="BYK115" s="8"/>
      <c r="BYL115" s="8"/>
      <c r="BYM115" s="8"/>
      <c r="BYN115" s="8"/>
      <c r="BYO115" s="8"/>
      <c r="BYP115" s="8"/>
      <c r="BYQ115" s="8"/>
      <c r="BYR115" s="8"/>
      <c r="BYS115" s="8"/>
      <c r="BYT115" s="8"/>
      <c r="BYU115" s="8"/>
      <c r="BYV115" s="8"/>
      <c r="BYW115" s="8"/>
      <c r="BYX115" s="8"/>
      <c r="BYY115" s="8"/>
      <c r="BYZ115" s="8"/>
      <c r="BZA115" s="8"/>
      <c r="BZB115" s="8"/>
      <c r="BZC115" s="8"/>
      <c r="BZD115" s="8"/>
      <c r="BZE115" s="8"/>
      <c r="BZF115" s="8"/>
      <c r="BZG115" s="8"/>
      <c r="BZH115" s="8"/>
      <c r="BZI115" s="8"/>
      <c r="BZJ115" s="8"/>
      <c r="BZK115" s="8"/>
      <c r="BZL115" s="8"/>
      <c r="BZM115" s="8"/>
      <c r="BZN115" s="8"/>
      <c r="BZO115" s="8"/>
      <c r="BZP115" s="8"/>
      <c r="BZQ115" s="8"/>
      <c r="BZR115" s="8"/>
      <c r="BZS115" s="8"/>
      <c r="BZT115" s="8"/>
      <c r="BZU115" s="8"/>
      <c r="BZV115" s="8"/>
      <c r="BZW115" s="8"/>
      <c r="BZX115" s="8"/>
      <c r="BZY115" s="8"/>
      <c r="BZZ115" s="8"/>
      <c r="CAA115" s="8"/>
      <c r="CAB115" s="8"/>
      <c r="CAC115" s="8"/>
      <c r="CAD115" s="8"/>
      <c r="CAE115" s="8"/>
      <c r="CAF115" s="8"/>
      <c r="CAG115" s="8"/>
      <c r="CAH115" s="8"/>
      <c r="CAI115" s="8"/>
      <c r="CAJ115" s="8"/>
      <c r="CAK115" s="8"/>
      <c r="CAL115" s="8"/>
      <c r="CAM115" s="8"/>
      <c r="CAN115" s="8"/>
      <c r="CAO115" s="8"/>
      <c r="CAP115" s="8"/>
      <c r="CAQ115" s="8"/>
      <c r="CAR115" s="8"/>
      <c r="CAS115" s="8"/>
      <c r="CAT115" s="8"/>
      <c r="CAU115" s="8"/>
      <c r="CAV115" s="8"/>
      <c r="CAW115" s="8"/>
      <c r="CAX115" s="8"/>
      <c r="CAY115" s="8"/>
      <c r="CAZ115" s="8"/>
      <c r="CBA115" s="8"/>
      <c r="CBB115" s="8"/>
      <c r="CBC115" s="8"/>
      <c r="CBD115" s="8"/>
      <c r="CBE115" s="8"/>
      <c r="CBF115" s="8"/>
      <c r="CBG115" s="8"/>
      <c r="CBH115" s="8"/>
      <c r="CBI115" s="8"/>
      <c r="CBJ115" s="8"/>
      <c r="CBK115" s="8"/>
      <c r="CBL115" s="8"/>
      <c r="CBM115" s="8"/>
      <c r="CBN115" s="8"/>
      <c r="CBO115" s="8"/>
      <c r="CBP115" s="8"/>
      <c r="CBQ115" s="8"/>
      <c r="CBR115" s="8"/>
      <c r="CBS115" s="8"/>
      <c r="CBT115" s="8"/>
      <c r="CBU115" s="8"/>
      <c r="CBV115" s="8"/>
      <c r="CBW115" s="8"/>
      <c r="CBX115" s="8"/>
      <c r="CBY115" s="8"/>
      <c r="CBZ115" s="8"/>
      <c r="CCA115" s="8"/>
      <c r="CCB115" s="8"/>
      <c r="CCC115" s="8"/>
      <c r="CCD115" s="8"/>
      <c r="CCE115" s="8"/>
      <c r="CCF115" s="8"/>
      <c r="CCG115" s="8"/>
      <c r="CCH115" s="8"/>
      <c r="CCI115" s="8"/>
      <c r="CCJ115" s="8"/>
      <c r="CCK115" s="8"/>
      <c r="CCL115" s="9"/>
      <c r="CCM115" s="3"/>
      <c r="CCN115" s="3"/>
      <c r="CCO115" s="3"/>
      <c r="CCP115" s="3"/>
      <c r="CCQ115" s="3"/>
      <c r="CCR115" s="3"/>
      <c r="CCS115" s="3"/>
      <c r="CCT115" s="3"/>
      <c r="CCU115" s="3"/>
      <c r="CCV115" s="3"/>
      <c r="CCW115" s="3"/>
      <c r="CCX115" s="3"/>
      <c r="CCY115" s="3"/>
      <c r="CCZ115" s="3"/>
      <c r="CDA115" s="3"/>
      <c r="CDB115" s="3"/>
      <c r="CDC115" s="3"/>
      <c r="CDD115" s="3"/>
      <c r="CDE115" s="3"/>
      <c r="CDF115" s="3"/>
      <c r="CDG115" s="3"/>
      <c r="CDH115" s="3"/>
      <c r="CDI115" s="3"/>
      <c r="CDJ115" s="3"/>
      <c r="CDK115" s="3"/>
      <c r="CDL115" s="3"/>
      <c r="CDM115" s="3"/>
      <c r="CDN115" s="3"/>
      <c r="CDO115" s="3"/>
      <c r="CDP115" s="3"/>
      <c r="CDQ115" s="3"/>
      <c r="CDR115" s="3"/>
      <c r="CDS115" s="3"/>
      <c r="CDT115" s="3"/>
      <c r="CDU115" s="3"/>
      <c r="CDV115" s="3"/>
      <c r="CDW115" s="3"/>
      <c r="CDX115" s="3"/>
      <c r="CDY115" s="3"/>
      <c r="CDZ115" s="3"/>
      <c r="CEA115" s="3"/>
      <c r="CEB115" s="3"/>
      <c r="CEC115" s="3"/>
      <c r="CED115" s="3"/>
      <c r="CEE115" s="3"/>
      <c r="CEF115" s="3"/>
      <c r="CEG115" s="3"/>
      <c r="CEH115" s="3"/>
      <c r="CEI115" s="3"/>
      <c r="CEJ115" s="3"/>
      <c r="CEK115" s="3"/>
      <c r="CEL115" s="3"/>
      <c r="CEM115" s="3"/>
      <c r="CEN115" s="3"/>
      <c r="CEO115" s="3"/>
      <c r="CEP115" s="3"/>
      <c r="CEQ115" s="3"/>
      <c r="CER115" s="3"/>
      <c r="CES115" s="3"/>
      <c r="CET115" s="3"/>
      <c r="CEU115" s="3"/>
      <c r="CEV115" s="3"/>
      <c r="CEW115" s="3"/>
      <c r="CEX115" s="3"/>
      <c r="CEY115" s="3"/>
      <c r="CEZ115" s="3"/>
      <c r="CFA115" s="3"/>
      <c r="CFB115" s="3"/>
      <c r="CFC115" s="3"/>
      <c r="CFD115" s="3"/>
      <c r="CFE115" s="3"/>
      <c r="CFF115" s="3"/>
      <c r="CFG115" s="3"/>
      <c r="CFH115" s="3"/>
      <c r="CFI115" s="3"/>
      <c r="CFJ115" s="3"/>
      <c r="CFK115" s="3"/>
      <c r="CFL115" s="3"/>
      <c r="CFM115" s="3"/>
      <c r="CFN115" s="3"/>
      <c r="CFO115" s="3"/>
      <c r="CFP115" s="3"/>
      <c r="CFQ115" s="3"/>
      <c r="CFR115" s="3"/>
      <c r="CFS115" s="3"/>
      <c r="CFT115" s="3"/>
      <c r="CFU115" s="3"/>
      <c r="CFV115" s="3"/>
      <c r="CFW115" s="3"/>
      <c r="CFX115" s="3"/>
      <c r="CFY115" s="3"/>
      <c r="CFZ115" s="3"/>
      <c r="CGA115" s="3"/>
      <c r="CGB115" s="3"/>
      <c r="CGC115" s="3"/>
      <c r="CGD115" s="3"/>
      <c r="CGE115" s="3"/>
      <c r="CGF115" s="3"/>
      <c r="CGG115" s="3"/>
      <c r="CGH115" s="3"/>
      <c r="CGI115" s="3"/>
      <c r="CGJ115" s="3"/>
      <c r="CGK115" s="3"/>
      <c r="CGL115" s="3"/>
      <c r="CGM115" s="3"/>
      <c r="CGN115" s="3"/>
    </row>
    <row r="116" spans="1:2224" s="3" customFormat="1" x14ac:dyDescent="0.25">
      <c r="B116" s="65"/>
    </row>
    <row r="117" spans="1:2224" s="3" customFormat="1" x14ac:dyDescent="0.25">
      <c r="B117" s="65"/>
    </row>
    <row r="118" spans="1:2224" s="3" customFormat="1" x14ac:dyDescent="0.25">
      <c r="B118" s="65"/>
      <c r="J118" s="56"/>
    </row>
    <row r="119" spans="1:2224" s="3" customFormat="1" x14ac:dyDescent="0.25">
      <c r="B119" s="65"/>
    </row>
    <row r="120" spans="1:2224" s="3" customFormat="1" x14ac:dyDescent="0.25">
      <c r="B120" s="65"/>
    </row>
    <row r="121" spans="1:2224" s="3" customFormat="1" x14ac:dyDescent="0.25">
      <c r="B121" s="65"/>
    </row>
    <row r="122" spans="1:2224" s="3" customFormat="1" x14ac:dyDescent="0.25">
      <c r="B122" s="65"/>
    </row>
    <row r="123" spans="1:2224" s="3" customFormat="1" x14ac:dyDescent="0.25">
      <c r="B123" s="65"/>
    </row>
    <row r="124" spans="1:2224" s="3" customFormat="1" x14ac:dyDescent="0.25">
      <c r="B124" s="65"/>
    </row>
    <row r="125" spans="1:2224" s="3" customFormat="1" x14ac:dyDescent="0.25">
      <c r="B125" s="65"/>
    </row>
    <row r="126" spans="1:2224" s="3" customFormat="1" x14ac:dyDescent="0.25">
      <c r="B126" s="65"/>
    </row>
    <row r="127" spans="1:2224" s="3" customFormat="1" x14ac:dyDescent="0.25">
      <c r="B127" s="65"/>
    </row>
    <row r="128" spans="1:2224" s="3" customFormat="1" x14ac:dyDescent="0.25">
      <c r="B128" s="65"/>
    </row>
    <row r="129" spans="2:2" s="3" customFormat="1" x14ac:dyDescent="0.25">
      <c r="B129" s="65"/>
    </row>
    <row r="130" spans="2:2" s="3" customFormat="1" x14ac:dyDescent="0.25">
      <c r="B130" s="65"/>
    </row>
    <row r="131" spans="2:2" s="3" customFormat="1" x14ac:dyDescent="0.25">
      <c r="B131" s="65"/>
    </row>
    <row r="132" spans="2:2" s="3" customFormat="1" x14ac:dyDescent="0.25">
      <c r="B132" s="65"/>
    </row>
    <row r="133" spans="2:2" s="3" customFormat="1" x14ac:dyDescent="0.25">
      <c r="B133" s="65"/>
    </row>
    <row r="134" spans="2:2" s="3" customFormat="1" x14ac:dyDescent="0.25">
      <c r="B134" s="65"/>
    </row>
    <row r="135" spans="2:2" s="3" customFormat="1" x14ac:dyDescent="0.25">
      <c r="B135" s="65"/>
    </row>
    <row r="136" spans="2:2" s="3" customFormat="1" x14ac:dyDescent="0.25">
      <c r="B136" s="65"/>
    </row>
    <row r="137" spans="2:2" s="3" customFormat="1" x14ac:dyDescent="0.25">
      <c r="B137" s="65"/>
    </row>
    <row r="138" spans="2:2" s="3" customFormat="1" x14ac:dyDescent="0.25">
      <c r="B138" s="65"/>
    </row>
    <row r="139" spans="2:2" s="3" customFormat="1" x14ac:dyDescent="0.25">
      <c r="B139" s="65"/>
    </row>
    <row r="140" spans="2:2" s="3" customFormat="1" x14ac:dyDescent="0.25">
      <c r="B140" s="65"/>
    </row>
    <row r="141" spans="2:2" s="3" customFormat="1" x14ac:dyDescent="0.25">
      <c r="B141" s="65"/>
    </row>
    <row r="142" spans="2:2" s="3" customFormat="1" x14ac:dyDescent="0.25">
      <c r="B142" s="65"/>
    </row>
    <row r="143" spans="2:2" s="3" customFormat="1" x14ac:dyDescent="0.25">
      <c r="B143" s="65"/>
    </row>
    <row r="144" spans="2:2" s="3" customFormat="1" x14ac:dyDescent="0.25">
      <c r="B144" s="65"/>
    </row>
    <row r="145" spans="2:2" s="3" customFormat="1" x14ac:dyDescent="0.25">
      <c r="B145" s="65"/>
    </row>
    <row r="146" spans="2:2" s="3" customFormat="1" x14ac:dyDescent="0.25">
      <c r="B146" s="65"/>
    </row>
    <row r="147" spans="2:2" s="3" customFormat="1" x14ac:dyDescent="0.25">
      <c r="B147" s="65"/>
    </row>
    <row r="148" spans="2:2" s="3" customFormat="1" x14ac:dyDescent="0.25">
      <c r="B148" s="65"/>
    </row>
    <row r="149" spans="2:2" s="3" customFormat="1" x14ac:dyDescent="0.25">
      <c r="B149" s="65"/>
    </row>
    <row r="150" spans="2:2" s="3" customFormat="1" x14ac:dyDescent="0.25">
      <c r="B150" s="65"/>
    </row>
    <row r="151" spans="2:2" s="3" customFormat="1" x14ac:dyDescent="0.25">
      <c r="B151" s="65"/>
    </row>
    <row r="152" spans="2:2" s="3" customFormat="1" x14ac:dyDescent="0.25">
      <c r="B152" s="65"/>
    </row>
    <row r="153" spans="2:2" s="3" customFormat="1" x14ac:dyDescent="0.25">
      <c r="B153" s="65"/>
    </row>
    <row r="154" spans="2:2" s="3" customFormat="1" x14ac:dyDescent="0.25">
      <c r="B154" s="65"/>
    </row>
    <row r="155" spans="2:2" s="3" customFormat="1" x14ac:dyDescent="0.25">
      <c r="B155" s="65"/>
    </row>
    <row r="156" spans="2:2" s="3" customFormat="1" x14ac:dyDescent="0.25">
      <c r="B156" s="65"/>
    </row>
    <row r="157" spans="2:2" s="3" customFormat="1" x14ac:dyDescent="0.25">
      <c r="B157" s="65"/>
    </row>
    <row r="158" spans="2:2" s="3" customFormat="1" x14ac:dyDescent="0.25">
      <c r="B158" s="65"/>
    </row>
    <row r="159" spans="2:2" s="3" customFormat="1" x14ac:dyDescent="0.25">
      <c r="B159" s="65"/>
    </row>
    <row r="160" spans="2:2" s="3" customFormat="1" x14ac:dyDescent="0.25">
      <c r="B160" s="65"/>
    </row>
    <row r="161" spans="2:2" s="3" customFormat="1" x14ac:dyDescent="0.25">
      <c r="B161" s="65"/>
    </row>
    <row r="162" spans="2:2" s="3" customFormat="1" x14ac:dyDescent="0.25">
      <c r="B162" s="65"/>
    </row>
    <row r="163" spans="2:2" s="3" customFormat="1" x14ac:dyDescent="0.25">
      <c r="B163" s="65"/>
    </row>
    <row r="164" spans="2:2" s="3" customFormat="1" x14ac:dyDescent="0.25">
      <c r="B164" s="65"/>
    </row>
    <row r="165" spans="2:2" s="3" customFormat="1" x14ac:dyDescent="0.25">
      <c r="B165" s="65"/>
    </row>
    <row r="166" spans="2:2" s="3" customFormat="1" x14ac:dyDescent="0.25">
      <c r="B166" s="65"/>
    </row>
    <row r="167" spans="2:2" s="3" customFormat="1" x14ac:dyDescent="0.25">
      <c r="B167" s="65"/>
    </row>
    <row r="168" spans="2:2" s="3" customFormat="1" x14ac:dyDescent="0.25">
      <c r="B168" s="65"/>
    </row>
    <row r="169" spans="2:2" s="3" customFormat="1" x14ac:dyDescent="0.25">
      <c r="B169" s="65"/>
    </row>
    <row r="170" spans="2:2" s="3" customFormat="1" x14ac:dyDescent="0.25">
      <c r="B170" s="65"/>
    </row>
    <row r="171" spans="2:2" s="3" customFormat="1" x14ac:dyDescent="0.25">
      <c r="B171" s="65"/>
    </row>
    <row r="172" spans="2:2" s="3" customFormat="1" x14ac:dyDescent="0.25">
      <c r="B172" s="65"/>
    </row>
    <row r="173" spans="2:2" s="3" customFormat="1" x14ac:dyDescent="0.25">
      <c r="B173" s="65"/>
    </row>
    <row r="174" spans="2:2" s="3" customFormat="1" x14ac:dyDescent="0.25">
      <c r="B174" s="65"/>
    </row>
    <row r="175" spans="2:2" s="3" customFormat="1" x14ac:dyDescent="0.25">
      <c r="B175" s="65"/>
    </row>
    <row r="176" spans="2:2" s="3" customFormat="1" x14ac:dyDescent="0.25">
      <c r="B176" s="65"/>
    </row>
    <row r="177" spans="2:2" s="3" customFormat="1" x14ac:dyDescent="0.25">
      <c r="B177" s="65"/>
    </row>
    <row r="178" spans="2:2" s="3" customFormat="1" x14ac:dyDescent="0.25">
      <c r="B178" s="65"/>
    </row>
    <row r="179" spans="2:2" s="3" customFormat="1" x14ac:dyDescent="0.25">
      <c r="B179" s="65"/>
    </row>
    <row r="180" spans="2:2" s="3" customFormat="1" x14ac:dyDescent="0.25">
      <c r="B180" s="65"/>
    </row>
    <row r="181" spans="2:2" s="3" customFormat="1" x14ac:dyDescent="0.25">
      <c r="B181" s="65"/>
    </row>
    <row r="182" spans="2:2" s="3" customFormat="1" x14ac:dyDescent="0.25">
      <c r="B182" s="65"/>
    </row>
    <row r="183" spans="2:2" s="3" customFormat="1" x14ac:dyDescent="0.25">
      <c r="B183" s="65"/>
    </row>
    <row r="184" spans="2:2" s="3" customFormat="1" x14ac:dyDescent="0.25">
      <c r="B184" s="65"/>
    </row>
    <row r="185" spans="2:2" s="3" customFormat="1" x14ac:dyDescent="0.25">
      <c r="B185" s="65"/>
    </row>
    <row r="186" spans="2:2" s="3" customFormat="1" x14ac:dyDescent="0.25">
      <c r="B186" s="65"/>
    </row>
    <row r="187" spans="2:2" s="3" customFormat="1" x14ac:dyDescent="0.25">
      <c r="B187" s="65"/>
    </row>
    <row r="188" spans="2:2" s="3" customFormat="1" x14ac:dyDescent="0.25">
      <c r="B188" s="65"/>
    </row>
    <row r="189" spans="2:2" s="3" customFormat="1" x14ac:dyDescent="0.25">
      <c r="B189" s="65"/>
    </row>
    <row r="190" spans="2:2" s="3" customFormat="1" x14ac:dyDescent="0.25">
      <c r="B190" s="65"/>
    </row>
    <row r="191" spans="2:2" s="3" customFormat="1" x14ac:dyDescent="0.25">
      <c r="B191" s="65"/>
    </row>
    <row r="192" spans="2:2" s="3" customFormat="1" x14ac:dyDescent="0.25">
      <c r="B192" s="65"/>
    </row>
    <row r="193" spans="2:2" s="3" customFormat="1" x14ac:dyDescent="0.25">
      <c r="B193" s="65"/>
    </row>
    <row r="194" spans="2:2" s="3" customFormat="1" x14ac:dyDescent="0.25">
      <c r="B194" s="65"/>
    </row>
    <row r="195" spans="2:2" s="3" customFormat="1" x14ac:dyDescent="0.25">
      <c r="B195" s="65"/>
    </row>
    <row r="196" spans="2:2" s="3" customFormat="1" x14ac:dyDescent="0.25">
      <c r="B196" s="65"/>
    </row>
    <row r="197" spans="2:2" s="3" customFormat="1" x14ac:dyDescent="0.25">
      <c r="B197" s="65"/>
    </row>
    <row r="198" spans="2:2" s="3" customFormat="1" x14ac:dyDescent="0.25">
      <c r="B198" s="65"/>
    </row>
    <row r="199" spans="2:2" s="3" customFormat="1" x14ac:dyDescent="0.25">
      <c r="B199" s="65"/>
    </row>
    <row r="200" spans="2:2" s="3" customFormat="1" x14ac:dyDescent="0.25">
      <c r="B200" s="65"/>
    </row>
    <row r="201" spans="2:2" s="3" customFormat="1" x14ac:dyDescent="0.25">
      <c r="B201" s="65"/>
    </row>
    <row r="202" spans="2:2" s="3" customFormat="1" x14ac:dyDescent="0.25">
      <c r="B202" s="65"/>
    </row>
    <row r="203" spans="2:2" s="3" customFormat="1" x14ac:dyDescent="0.25">
      <c r="B203" s="65"/>
    </row>
    <row r="204" spans="2:2" s="3" customFormat="1" x14ac:dyDescent="0.25">
      <c r="B204" s="65"/>
    </row>
    <row r="205" spans="2:2" s="3" customFormat="1" x14ac:dyDescent="0.25">
      <c r="B205" s="65"/>
    </row>
    <row r="206" spans="2:2" s="3" customFormat="1" x14ac:dyDescent="0.25">
      <c r="B206" s="65"/>
    </row>
    <row r="207" spans="2:2" s="3" customFormat="1" x14ac:dyDescent="0.25">
      <c r="B207" s="65"/>
    </row>
    <row r="208" spans="2:2" s="3" customFormat="1" x14ac:dyDescent="0.25">
      <c r="B208" s="65"/>
    </row>
    <row r="209" spans="2:2" s="3" customFormat="1" x14ac:dyDescent="0.25">
      <c r="B209" s="65"/>
    </row>
    <row r="210" spans="2:2" s="3" customFormat="1" x14ac:dyDescent="0.25">
      <c r="B210" s="65"/>
    </row>
    <row r="211" spans="2:2" s="3" customFormat="1" x14ac:dyDescent="0.25">
      <c r="B211" s="65"/>
    </row>
    <row r="212" spans="2:2" s="3" customFormat="1" x14ac:dyDescent="0.25">
      <c r="B212" s="65"/>
    </row>
    <row r="213" spans="2:2" s="3" customFormat="1" x14ac:dyDescent="0.25">
      <c r="B213" s="65"/>
    </row>
    <row r="214" spans="2:2" s="3" customFormat="1" x14ac:dyDescent="0.25">
      <c r="B214" s="65"/>
    </row>
    <row r="215" spans="2:2" s="3" customFormat="1" x14ac:dyDescent="0.25">
      <c r="B215" s="65"/>
    </row>
    <row r="216" spans="2:2" s="3" customFormat="1" x14ac:dyDescent="0.25">
      <c r="B216" s="65"/>
    </row>
    <row r="217" spans="2:2" s="3" customFormat="1" x14ac:dyDescent="0.25">
      <c r="B217" s="65"/>
    </row>
    <row r="218" spans="2:2" s="3" customFormat="1" x14ac:dyDescent="0.25">
      <c r="B218" s="65"/>
    </row>
    <row r="219" spans="2:2" s="3" customFormat="1" x14ac:dyDescent="0.25">
      <c r="B219" s="65"/>
    </row>
    <row r="220" spans="2:2" s="3" customFormat="1" x14ac:dyDescent="0.25">
      <c r="B220" s="65"/>
    </row>
    <row r="221" spans="2:2" s="3" customFormat="1" x14ac:dyDescent="0.25">
      <c r="B221" s="65"/>
    </row>
    <row r="222" spans="2:2" s="3" customFormat="1" x14ac:dyDescent="0.25">
      <c r="B222" s="65"/>
    </row>
    <row r="223" spans="2:2" s="3" customFormat="1" x14ac:dyDescent="0.25">
      <c r="B223" s="65"/>
    </row>
    <row r="224" spans="2:2" s="3" customFormat="1" x14ac:dyDescent="0.25">
      <c r="B224" s="65"/>
    </row>
    <row r="225" spans="2:2224" s="3" customFormat="1" x14ac:dyDescent="0.25">
      <c r="B225" s="65"/>
    </row>
    <row r="226" spans="2:2224" s="3" customFormat="1" x14ac:dyDescent="0.25">
      <c r="B226" s="65"/>
    </row>
    <row r="227" spans="2:2224" s="3" customFormat="1" x14ac:dyDescent="0.25">
      <c r="B227" s="65"/>
    </row>
    <row r="228" spans="2:2224" s="3" customFormat="1" x14ac:dyDescent="0.25">
      <c r="B228" s="65"/>
    </row>
    <row r="229" spans="2:2224" s="3" customFormat="1" x14ac:dyDescent="0.25">
      <c r="B229" s="65"/>
    </row>
    <row r="230" spans="2:2224" s="3" customFormat="1" x14ac:dyDescent="0.25">
      <c r="B230" s="65"/>
    </row>
    <row r="231" spans="2:2224" s="3" customFormat="1" x14ac:dyDescent="0.25">
      <c r="B231" s="65"/>
    </row>
    <row r="232" spans="2:2224" s="3" customFormat="1" x14ac:dyDescent="0.25">
      <c r="B232" s="65"/>
    </row>
    <row r="233" spans="2:2224" s="3" customFormat="1" x14ac:dyDescent="0.25">
      <c r="B233" s="65"/>
    </row>
    <row r="234" spans="2:2224" s="3" customFormat="1" x14ac:dyDescent="0.25">
      <c r="B234" s="65"/>
    </row>
    <row r="235" spans="2:2224" s="67" customFormat="1" x14ac:dyDescent="0.25">
      <c r="B235" s="66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3"/>
      <c r="KC235" s="3"/>
      <c r="KD235" s="3"/>
      <c r="KE235" s="3"/>
      <c r="KF235" s="3"/>
      <c r="KG235" s="3"/>
      <c r="KH235" s="3"/>
      <c r="KI235" s="3"/>
      <c r="KJ235" s="3"/>
      <c r="KK235" s="3"/>
      <c r="KL235" s="3"/>
      <c r="KM235" s="3"/>
      <c r="KN235" s="3"/>
      <c r="KO235" s="3"/>
      <c r="KP235" s="3"/>
      <c r="KQ235" s="3"/>
      <c r="KR235" s="3"/>
      <c r="KS235" s="3"/>
      <c r="KT235" s="3"/>
      <c r="KU235" s="3"/>
      <c r="KV235" s="3"/>
      <c r="KW235" s="3"/>
      <c r="KX235" s="3"/>
      <c r="KY235" s="3"/>
      <c r="KZ235" s="3"/>
      <c r="LA235" s="3"/>
      <c r="LB235" s="3"/>
      <c r="LC235" s="3"/>
      <c r="LD235" s="3"/>
      <c r="LE235" s="3"/>
      <c r="LF235" s="3"/>
      <c r="LG235" s="3"/>
      <c r="LH235" s="3"/>
      <c r="LI235" s="3"/>
      <c r="LJ235" s="3"/>
      <c r="LK235" s="3"/>
      <c r="LL235" s="3"/>
      <c r="LM235" s="3"/>
      <c r="LN235" s="3"/>
      <c r="LO235" s="3"/>
      <c r="LP235" s="3"/>
      <c r="LQ235" s="3"/>
      <c r="LR235" s="3"/>
      <c r="LS235" s="3"/>
      <c r="LT235" s="3"/>
      <c r="LU235" s="3"/>
      <c r="LV235" s="3"/>
      <c r="LW235" s="3"/>
      <c r="LX235" s="3"/>
      <c r="LY235" s="3"/>
      <c r="LZ235" s="3"/>
      <c r="MA235" s="3"/>
      <c r="MB235" s="3"/>
      <c r="MC235" s="3"/>
      <c r="MD235" s="3"/>
      <c r="ME235" s="3"/>
      <c r="MF235" s="3"/>
      <c r="MG235" s="3"/>
      <c r="MH235" s="3"/>
      <c r="MI235" s="3"/>
      <c r="MJ235" s="3"/>
      <c r="MK235" s="3"/>
      <c r="ML235" s="3"/>
      <c r="MM235" s="3"/>
      <c r="MN235" s="3"/>
      <c r="MO235" s="3"/>
      <c r="MP235" s="3"/>
      <c r="MQ235" s="3"/>
      <c r="MR235" s="3"/>
      <c r="MS235" s="3"/>
      <c r="MT235" s="3"/>
      <c r="MU235" s="3"/>
      <c r="MV235" s="3"/>
      <c r="MW235" s="3"/>
      <c r="MX235" s="3"/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/>
      <c r="OV235" s="3"/>
      <c r="OW235" s="3"/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/>
      <c r="QI235" s="3"/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E235" s="3"/>
      <c r="RF235" s="3"/>
      <c r="RG235" s="3"/>
      <c r="RH235" s="3"/>
      <c r="RI235" s="3"/>
      <c r="RJ235" s="3"/>
      <c r="RK235" s="3"/>
      <c r="RL235" s="3"/>
      <c r="RM235" s="3"/>
      <c r="RN235" s="3"/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/>
      <c r="SF235" s="3"/>
      <c r="SG235" s="3"/>
      <c r="SH235" s="3"/>
      <c r="SI235" s="3"/>
      <c r="SJ235" s="3"/>
      <c r="SK235" s="3"/>
      <c r="SL235" s="3"/>
      <c r="SM235" s="3"/>
      <c r="SN235" s="3"/>
      <c r="SO235" s="3"/>
      <c r="SP235" s="3"/>
      <c r="SQ235" s="3"/>
      <c r="SR235" s="3"/>
      <c r="SS235" s="3"/>
      <c r="ST235" s="3"/>
      <c r="SU235" s="3"/>
      <c r="SV235" s="3"/>
      <c r="SW235" s="3"/>
      <c r="SX235" s="3"/>
      <c r="SY235" s="3"/>
      <c r="SZ235" s="3"/>
      <c r="TA235" s="3"/>
      <c r="TB235" s="3"/>
      <c r="TC235" s="3"/>
      <c r="TD235" s="3"/>
      <c r="TE235" s="3"/>
      <c r="TF235" s="3"/>
      <c r="TG235" s="3"/>
      <c r="TH235" s="3"/>
      <c r="TI235" s="3"/>
      <c r="TJ235" s="3"/>
      <c r="TK235" s="3"/>
      <c r="TL235" s="3"/>
      <c r="TM235" s="3"/>
      <c r="TN235" s="3"/>
      <c r="TO235" s="3"/>
      <c r="TP235" s="3"/>
      <c r="TQ235" s="3"/>
      <c r="TR235" s="3"/>
      <c r="TS235" s="3"/>
      <c r="TT235" s="3"/>
      <c r="TU235" s="3"/>
      <c r="TV235" s="3"/>
      <c r="TW235" s="3"/>
      <c r="TX235" s="3"/>
      <c r="TY235" s="3"/>
      <c r="TZ235" s="3"/>
      <c r="UA235" s="3"/>
      <c r="UB235" s="3"/>
      <c r="UC235" s="3"/>
      <c r="UD235" s="3"/>
      <c r="UE235" s="3"/>
      <c r="UF235" s="3"/>
      <c r="UG235" s="3"/>
      <c r="UH235" s="3"/>
      <c r="UI235" s="3"/>
      <c r="UJ235" s="3"/>
      <c r="UK235" s="3"/>
      <c r="UL235" s="3"/>
      <c r="UM235" s="3"/>
      <c r="UN235" s="3"/>
      <c r="UO235" s="3"/>
      <c r="UP235" s="3"/>
      <c r="UQ235" s="3"/>
      <c r="UR235" s="3"/>
      <c r="US235" s="3"/>
      <c r="UT235" s="3"/>
      <c r="UU235" s="3"/>
      <c r="UV235" s="3"/>
      <c r="UW235" s="3"/>
      <c r="UX235" s="3"/>
      <c r="UY235" s="3"/>
      <c r="UZ235" s="3"/>
      <c r="VA235" s="3"/>
      <c r="VB235" s="3"/>
      <c r="VC235" s="3"/>
      <c r="VD235" s="3"/>
      <c r="VE235" s="3"/>
      <c r="VF235" s="3"/>
      <c r="VG235" s="3"/>
      <c r="VH235" s="3"/>
      <c r="VI235" s="3"/>
      <c r="VJ235" s="3"/>
      <c r="VK235" s="3"/>
      <c r="VL235" s="3"/>
      <c r="VM235" s="3"/>
      <c r="VN235" s="3"/>
      <c r="VO235" s="3"/>
      <c r="VP235" s="3"/>
      <c r="VQ235" s="3"/>
      <c r="VR235" s="3"/>
      <c r="VS235" s="3"/>
      <c r="VT235" s="3"/>
      <c r="VU235" s="3"/>
      <c r="VV235" s="3"/>
      <c r="VW235" s="3"/>
      <c r="VX235" s="3"/>
      <c r="VY235" s="3"/>
      <c r="VZ235" s="3"/>
      <c r="WA235" s="3"/>
      <c r="WB235" s="3"/>
      <c r="WC235" s="3"/>
      <c r="WD235" s="3"/>
      <c r="WE235" s="3"/>
      <c r="WF235" s="3"/>
      <c r="WG235" s="3"/>
      <c r="WH235" s="3"/>
      <c r="WI235" s="3"/>
      <c r="WJ235" s="3"/>
      <c r="WK235" s="3"/>
      <c r="WL235" s="3"/>
      <c r="WM235" s="3"/>
      <c r="WN235" s="3"/>
      <c r="WO235" s="3"/>
      <c r="WP235" s="3"/>
      <c r="WQ235" s="3"/>
      <c r="WR235" s="3"/>
      <c r="WS235" s="3"/>
      <c r="WT235" s="3"/>
      <c r="WU235" s="3"/>
      <c r="WV235" s="3"/>
      <c r="WW235" s="3"/>
      <c r="WX235" s="3"/>
      <c r="WY235" s="3"/>
      <c r="WZ235" s="3"/>
      <c r="XA235" s="3"/>
      <c r="XB235" s="3"/>
      <c r="XC235" s="3"/>
      <c r="XD235" s="3"/>
      <c r="XE235" s="3"/>
      <c r="XF235" s="3"/>
      <c r="XG235" s="3"/>
      <c r="XH235" s="3"/>
      <c r="XI235" s="3"/>
      <c r="XJ235" s="3"/>
      <c r="XK235" s="3"/>
      <c r="XL235" s="3"/>
      <c r="XM235" s="3"/>
      <c r="XN235" s="3"/>
      <c r="XO235" s="3"/>
      <c r="XP235" s="3"/>
      <c r="XQ235" s="3"/>
      <c r="XR235" s="3"/>
      <c r="XS235" s="3"/>
      <c r="XT235" s="3"/>
      <c r="XU235" s="3"/>
      <c r="XV235" s="3"/>
      <c r="XW235" s="3"/>
      <c r="XX235" s="3"/>
      <c r="XY235" s="3"/>
      <c r="XZ235" s="3"/>
      <c r="YA235" s="3"/>
      <c r="YB235" s="3"/>
      <c r="YC235" s="3"/>
      <c r="YD235" s="3"/>
      <c r="YE235" s="3"/>
      <c r="YF235" s="3"/>
      <c r="YG235" s="3"/>
      <c r="YH235" s="3"/>
      <c r="YI235" s="3"/>
      <c r="YJ235" s="3"/>
      <c r="YK235" s="3"/>
      <c r="YL235" s="3"/>
      <c r="YM235" s="3"/>
      <c r="YN235" s="3"/>
      <c r="YO235" s="3"/>
      <c r="YP235" s="3"/>
      <c r="YQ235" s="3"/>
      <c r="YR235" s="3"/>
      <c r="YS235" s="3"/>
      <c r="YT235" s="3"/>
      <c r="YU235" s="3"/>
      <c r="YV235" s="3"/>
      <c r="YW235" s="3"/>
      <c r="YX235" s="3"/>
      <c r="YY235" s="3"/>
      <c r="YZ235" s="3"/>
      <c r="ZA235" s="3"/>
      <c r="ZB235" s="3"/>
      <c r="ZC235" s="3"/>
      <c r="ZD235" s="3"/>
      <c r="ZE235" s="3"/>
      <c r="ZF235" s="3"/>
      <c r="ZG235" s="3"/>
      <c r="ZH235" s="3"/>
      <c r="ZI235" s="3"/>
      <c r="ZJ235" s="3"/>
      <c r="ZK235" s="3"/>
      <c r="ZL235" s="3"/>
      <c r="ZM235" s="3"/>
      <c r="ZN235" s="3"/>
      <c r="ZO235" s="3"/>
      <c r="ZP235" s="3"/>
      <c r="ZQ235" s="3"/>
      <c r="ZR235" s="3"/>
      <c r="ZS235" s="3"/>
      <c r="ZT235" s="3"/>
      <c r="ZU235" s="3"/>
      <c r="ZV235" s="3"/>
      <c r="ZW235" s="3"/>
      <c r="ZX235" s="3"/>
      <c r="ZY235" s="3"/>
      <c r="ZZ235" s="3"/>
      <c r="AAA235" s="3"/>
      <c r="AAB235" s="3"/>
      <c r="AAC235" s="3"/>
      <c r="AAD235" s="3"/>
      <c r="AAE235" s="3"/>
      <c r="AAF235" s="3"/>
      <c r="AAG235" s="3"/>
      <c r="AAH235" s="3"/>
      <c r="AAI235" s="3"/>
      <c r="AAJ235" s="3"/>
      <c r="AAK235" s="3"/>
      <c r="AAL235" s="3"/>
      <c r="AAM235" s="3"/>
      <c r="AAN235" s="3"/>
      <c r="AAO235" s="3"/>
      <c r="AAP235" s="3"/>
      <c r="AAQ235" s="3"/>
      <c r="AAR235" s="3"/>
      <c r="AAS235" s="3"/>
      <c r="AAT235" s="3"/>
      <c r="AAU235" s="3"/>
      <c r="AAV235" s="3"/>
      <c r="AAW235" s="3"/>
      <c r="AAX235" s="3"/>
      <c r="AAY235" s="3"/>
      <c r="AAZ235" s="3"/>
      <c r="ABA235" s="3"/>
      <c r="ABB235" s="3"/>
      <c r="ABC235" s="3"/>
      <c r="ABD235" s="3"/>
      <c r="ABE235" s="3"/>
      <c r="ABF235" s="3"/>
      <c r="ABG235" s="3"/>
      <c r="ABH235" s="3"/>
      <c r="ABI235" s="3"/>
      <c r="ABJ235" s="3"/>
      <c r="ABK235" s="3"/>
      <c r="ABL235" s="3"/>
      <c r="ABM235" s="3"/>
      <c r="ABN235" s="3"/>
      <c r="ABO235" s="3"/>
      <c r="ABP235" s="3"/>
      <c r="ABQ235" s="3"/>
      <c r="ABR235" s="3"/>
      <c r="ABS235" s="3"/>
      <c r="ABT235" s="3"/>
      <c r="ABU235" s="3"/>
      <c r="ABV235" s="3"/>
      <c r="ABW235" s="3"/>
      <c r="ABX235" s="3"/>
      <c r="ABY235" s="3"/>
      <c r="ABZ235" s="3"/>
      <c r="ACA235" s="3"/>
      <c r="ACB235" s="3"/>
      <c r="ACC235" s="3"/>
      <c r="ACD235" s="3"/>
      <c r="ACE235" s="3"/>
      <c r="ACF235" s="3"/>
      <c r="ACG235" s="3"/>
      <c r="ACH235" s="3"/>
      <c r="ACI235" s="3"/>
      <c r="ACJ235" s="3"/>
      <c r="ACK235" s="3"/>
      <c r="ACL235" s="3"/>
      <c r="ACM235" s="3"/>
      <c r="ACN235" s="3"/>
      <c r="ACO235" s="3"/>
      <c r="ACP235" s="3"/>
      <c r="ACQ235" s="3"/>
      <c r="ACR235" s="3"/>
      <c r="ACS235" s="3"/>
      <c r="ACT235" s="3"/>
      <c r="ACU235" s="3"/>
      <c r="ACV235" s="3"/>
      <c r="ACW235" s="3"/>
      <c r="ACX235" s="3"/>
      <c r="ACY235" s="3"/>
      <c r="ACZ235" s="3"/>
      <c r="ADA235" s="3"/>
      <c r="ADB235" s="3"/>
      <c r="ADC235" s="3"/>
      <c r="ADD235" s="3"/>
      <c r="ADE235" s="3"/>
      <c r="ADF235" s="3"/>
      <c r="ADG235" s="3"/>
      <c r="ADH235" s="3"/>
      <c r="ADI235" s="3"/>
      <c r="ADJ235" s="3"/>
      <c r="ADK235" s="3"/>
      <c r="ADL235" s="3"/>
      <c r="ADM235" s="3"/>
      <c r="ADN235" s="3"/>
      <c r="ADO235" s="3"/>
      <c r="ADP235" s="3"/>
      <c r="ADQ235" s="3"/>
      <c r="ADR235" s="3"/>
      <c r="ADS235" s="3"/>
      <c r="ADT235" s="3"/>
      <c r="ADU235" s="3"/>
      <c r="ADV235" s="3"/>
      <c r="ADW235" s="3"/>
      <c r="ADX235" s="3"/>
      <c r="ADY235" s="3"/>
      <c r="ADZ235" s="3"/>
      <c r="AEA235" s="3"/>
      <c r="AEB235" s="3"/>
      <c r="AEC235" s="3"/>
      <c r="AED235" s="3"/>
      <c r="AEE235" s="3"/>
      <c r="AEF235" s="3"/>
      <c r="AEG235" s="3"/>
      <c r="AEH235" s="3"/>
      <c r="AEI235" s="3"/>
      <c r="AEJ235" s="3"/>
      <c r="AEK235" s="3"/>
      <c r="AEL235" s="3"/>
      <c r="AEM235" s="3"/>
      <c r="AEN235" s="3"/>
      <c r="AEO235" s="3"/>
      <c r="AEP235" s="3"/>
      <c r="AEQ235" s="3"/>
      <c r="AER235" s="3"/>
      <c r="AES235" s="3"/>
      <c r="AET235" s="3"/>
      <c r="AEU235" s="3"/>
      <c r="AEV235" s="3"/>
      <c r="AEW235" s="3"/>
      <c r="AEX235" s="3"/>
      <c r="AEY235" s="3"/>
      <c r="AEZ235" s="3"/>
      <c r="AFA235" s="3"/>
      <c r="AFB235" s="3"/>
      <c r="AFC235" s="3"/>
      <c r="AFD235" s="3"/>
      <c r="AFE235" s="3"/>
      <c r="AFF235" s="3"/>
      <c r="AFG235" s="3"/>
      <c r="AFH235" s="3"/>
      <c r="AFI235" s="3"/>
      <c r="AFJ235" s="3"/>
      <c r="AFK235" s="3"/>
      <c r="AFL235" s="3"/>
      <c r="AFM235" s="3"/>
      <c r="AFN235" s="3"/>
      <c r="AFO235" s="3"/>
      <c r="AFP235" s="3"/>
      <c r="AFQ235" s="3"/>
      <c r="AFR235" s="3"/>
      <c r="AFS235" s="3"/>
      <c r="AFT235" s="3"/>
      <c r="AFU235" s="3"/>
      <c r="AFV235" s="3"/>
      <c r="AFW235" s="3"/>
      <c r="AFX235" s="3"/>
      <c r="AFY235" s="3"/>
      <c r="AFZ235" s="3"/>
      <c r="AGA235" s="3"/>
      <c r="AGB235" s="3"/>
      <c r="AGC235" s="3"/>
      <c r="AGD235" s="3"/>
      <c r="AGE235" s="3"/>
      <c r="AGF235" s="3"/>
      <c r="AGG235" s="3"/>
      <c r="AGH235" s="3"/>
      <c r="AGI235" s="3"/>
      <c r="AGJ235" s="3"/>
      <c r="AGK235" s="3"/>
      <c r="AGL235" s="3"/>
      <c r="AGM235" s="3"/>
      <c r="AGN235" s="3"/>
      <c r="AGO235" s="3"/>
      <c r="AGP235" s="3"/>
      <c r="AGQ235" s="3"/>
      <c r="AGR235" s="3"/>
      <c r="AGS235" s="3"/>
      <c r="AGT235" s="3"/>
      <c r="AGU235" s="3"/>
      <c r="AGV235" s="3"/>
      <c r="AGW235" s="3"/>
      <c r="AGX235" s="3"/>
      <c r="AGY235" s="3"/>
      <c r="AGZ235" s="3"/>
      <c r="AHA235" s="3"/>
      <c r="AHB235" s="3"/>
      <c r="AHC235" s="3"/>
      <c r="AHD235" s="3"/>
      <c r="AHE235" s="3"/>
      <c r="AHF235" s="3"/>
      <c r="AHG235" s="3"/>
      <c r="AHH235" s="3"/>
      <c r="AHI235" s="3"/>
      <c r="AHJ235" s="3"/>
      <c r="AHK235" s="3"/>
      <c r="AHL235" s="3"/>
      <c r="AHM235" s="3"/>
      <c r="AHN235" s="3"/>
      <c r="AHO235" s="3"/>
      <c r="AHP235" s="3"/>
      <c r="AHQ235" s="3"/>
      <c r="AHR235" s="3"/>
      <c r="AHS235" s="3"/>
      <c r="AHT235" s="3"/>
      <c r="AHU235" s="3"/>
      <c r="AHV235" s="3"/>
      <c r="AHW235" s="3"/>
      <c r="AHX235" s="3"/>
      <c r="AHY235" s="3"/>
      <c r="AHZ235" s="3"/>
      <c r="AIA235" s="3"/>
      <c r="AIB235" s="3"/>
      <c r="AIC235" s="3"/>
      <c r="AID235" s="3"/>
      <c r="AIE235" s="3"/>
      <c r="AIF235" s="3"/>
      <c r="AIG235" s="3"/>
      <c r="AIH235" s="3"/>
      <c r="AII235" s="3"/>
      <c r="AIJ235" s="3"/>
      <c r="AIK235" s="3"/>
      <c r="AIL235" s="3"/>
      <c r="AIM235" s="3"/>
      <c r="AIN235" s="3"/>
      <c r="AIO235" s="3"/>
      <c r="AIP235" s="3"/>
      <c r="AIQ235" s="3"/>
      <c r="AIR235" s="3"/>
      <c r="AIS235" s="3"/>
      <c r="AIT235" s="3"/>
      <c r="AIU235" s="3"/>
      <c r="AIV235" s="3"/>
      <c r="AIW235" s="3"/>
      <c r="AIX235" s="3"/>
      <c r="AIY235" s="3"/>
      <c r="AIZ235" s="3"/>
      <c r="AJA235" s="3"/>
      <c r="AJB235" s="3"/>
      <c r="AJC235" s="3"/>
      <c r="AJD235" s="3"/>
      <c r="AJE235" s="3"/>
      <c r="AJF235" s="3"/>
      <c r="AJG235" s="3"/>
      <c r="AJH235" s="3"/>
      <c r="AJI235" s="3"/>
      <c r="AJJ235" s="3"/>
      <c r="AJK235" s="3"/>
      <c r="AJL235" s="3"/>
      <c r="AJM235" s="3"/>
      <c r="AJN235" s="3"/>
      <c r="AJO235" s="3"/>
      <c r="AJP235" s="3"/>
      <c r="AJQ235" s="3"/>
      <c r="AJR235" s="3"/>
      <c r="AJS235" s="3"/>
      <c r="AJT235" s="3"/>
      <c r="AJU235" s="3"/>
      <c r="AJV235" s="3"/>
      <c r="AJW235" s="3"/>
      <c r="AJX235" s="3"/>
      <c r="AJY235" s="3"/>
      <c r="AJZ235" s="3"/>
      <c r="AKA235" s="3"/>
      <c r="AKB235" s="3"/>
      <c r="AKC235" s="3"/>
      <c r="AKD235" s="3"/>
      <c r="AKE235" s="3"/>
      <c r="AKF235" s="3"/>
      <c r="AKG235" s="3"/>
      <c r="AKH235" s="3"/>
      <c r="AKI235" s="3"/>
      <c r="AKJ235" s="3"/>
      <c r="AKK235" s="3"/>
      <c r="AKL235" s="3"/>
      <c r="AKM235" s="3"/>
      <c r="AKN235" s="3"/>
      <c r="AKO235" s="3"/>
      <c r="AKP235" s="3"/>
      <c r="AKQ235" s="3"/>
      <c r="AKR235" s="3"/>
      <c r="AKS235" s="3"/>
      <c r="AKT235" s="3"/>
      <c r="AKU235" s="3"/>
      <c r="AKV235" s="3"/>
      <c r="AKW235" s="3"/>
      <c r="AKX235" s="3"/>
      <c r="AKY235" s="3"/>
      <c r="AKZ235" s="3"/>
      <c r="ALA235" s="3"/>
      <c r="ALB235" s="3"/>
      <c r="ALC235" s="3"/>
      <c r="ALD235" s="3"/>
      <c r="ALE235" s="3"/>
      <c r="ALF235" s="3"/>
      <c r="ALG235" s="3"/>
      <c r="ALH235" s="3"/>
      <c r="ALI235" s="3"/>
      <c r="ALJ235" s="3"/>
      <c r="ALK235" s="3"/>
      <c r="ALL235" s="3"/>
      <c r="ALM235" s="3"/>
      <c r="ALN235" s="3"/>
      <c r="ALO235" s="3"/>
      <c r="ALP235" s="3"/>
      <c r="ALQ235" s="3"/>
      <c r="ALR235" s="3"/>
      <c r="ALS235" s="3"/>
      <c r="ALT235" s="3"/>
      <c r="ALU235" s="3"/>
      <c r="ALV235" s="3"/>
      <c r="ALW235" s="3"/>
      <c r="ALX235" s="3"/>
      <c r="ALY235" s="3"/>
      <c r="ALZ235" s="3"/>
      <c r="AMA235" s="3"/>
      <c r="AMB235" s="3"/>
      <c r="AMC235" s="3"/>
      <c r="AMD235" s="3"/>
      <c r="AME235" s="3"/>
      <c r="AMF235" s="3"/>
      <c r="AMG235" s="3"/>
      <c r="AMH235" s="3"/>
      <c r="AMI235" s="3"/>
      <c r="AMJ235" s="3"/>
      <c r="AMK235" s="3"/>
      <c r="AML235" s="3"/>
      <c r="AMM235" s="3"/>
      <c r="AMN235" s="3"/>
      <c r="AMO235" s="3"/>
      <c r="AMP235" s="3"/>
      <c r="AMQ235" s="3"/>
      <c r="AMR235" s="3"/>
      <c r="AMS235" s="3"/>
      <c r="AMT235" s="3"/>
      <c r="AMU235" s="3"/>
      <c r="AMV235" s="3"/>
      <c r="AMW235" s="3"/>
      <c r="AMX235" s="3"/>
      <c r="AMY235" s="3"/>
      <c r="AMZ235" s="3"/>
      <c r="ANA235" s="3"/>
      <c r="ANB235" s="3"/>
      <c r="ANC235" s="3"/>
      <c r="AND235" s="3"/>
      <c r="ANE235" s="3"/>
      <c r="ANF235" s="3"/>
      <c r="ANG235" s="3"/>
      <c r="ANH235" s="3"/>
      <c r="ANI235" s="3"/>
      <c r="ANJ235" s="3"/>
      <c r="ANK235" s="3"/>
      <c r="ANL235" s="3"/>
      <c r="ANM235" s="3"/>
      <c r="ANN235" s="3"/>
      <c r="ANO235" s="3"/>
      <c r="ANP235" s="3"/>
      <c r="ANQ235" s="3"/>
      <c r="ANR235" s="3"/>
      <c r="ANS235" s="3"/>
      <c r="ANT235" s="3"/>
      <c r="ANU235" s="3"/>
      <c r="ANV235" s="3"/>
      <c r="ANW235" s="3"/>
      <c r="ANX235" s="3"/>
      <c r="ANY235" s="3"/>
      <c r="ANZ235" s="3"/>
      <c r="AOA235" s="3"/>
      <c r="AOB235" s="3"/>
      <c r="AOC235" s="3"/>
      <c r="AOD235" s="3"/>
      <c r="AOE235" s="3"/>
      <c r="AOF235" s="3"/>
      <c r="AOG235" s="3"/>
      <c r="AOH235" s="3"/>
      <c r="AOI235" s="3"/>
      <c r="AOJ235" s="3"/>
      <c r="AOK235" s="3"/>
      <c r="AOL235" s="3"/>
      <c r="AOM235" s="3"/>
      <c r="AON235" s="3"/>
      <c r="AOO235" s="3"/>
      <c r="AOP235" s="3"/>
      <c r="AOQ235" s="3"/>
      <c r="AOR235" s="3"/>
      <c r="AOS235" s="3"/>
      <c r="AOT235" s="3"/>
      <c r="AOU235" s="3"/>
      <c r="AOV235" s="3"/>
      <c r="AOW235" s="3"/>
      <c r="AOX235" s="3"/>
      <c r="AOY235" s="3"/>
      <c r="AOZ235" s="3"/>
      <c r="APA235" s="3"/>
      <c r="APB235" s="3"/>
      <c r="APC235" s="3"/>
      <c r="APD235" s="3"/>
      <c r="APE235" s="3"/>
      <c r="APF235" s="3"/>
      <c r="APG235" s="3"/>
      <c r="APH235" s="3"/>
      <c r="API235" s="3"/>
      <c r="APJ235" s="3"/>
      <c r="APK235" s="3"/>
      <c r="APL235" s="3"/>
      <c r="APM235" s="3"/>
      <c r="APN235" s="3"/>
      <c r="APO235" s="3"/>
      <c r="APP235" s="3"/>
      <c r="APQ235" s="3"/>
      <c r="APR235" s="3"/>
      <c r="APS235" s="3"/>
      <c r="APT235" s="3"/>
      <c r="APU235" s="3"/>
      <c r="APV235" s="3"/>
      <c r="APW235" s="3"/>
      <c r="APX235" s="3"/>
      <c r="APY235" s="3"/>
      <c r="APZ235" s="3"/>
      <c r="AQA235" s="3"/>
      <c r="AQB235" s="3"/>
      <c r="AQC235" s="3"/>
      <c r="AQD235" s="3"/>
      <c r="AQE235" s="3"/>
      <c r="AQF235" s="3"/>
      <c r="AQG235" s="3"/>
      <c r="AQH235" s="3"/>
      <c r="AQI235" s="3"/>
      <c r="AQJ235" s="3"/>
      <c r="AQK235" s="3"/>
      <c r="AQL235" s="3"/>
      <c r="AQM235" s="3"/>
      <c r="AQN235" s="3"/>
      <c r="AQO235" s="3"/>
      <c r="AQP235" s="3"/>
      <c r="AQQ235" s="3"/>
      <c r="AQR235" s="3"/>
      <c r="AQS235" s="3"/>
      <c r="AQT235" s="3"/>
      <c r="AQU235" s="3"/>
      <c r="AQV235" s="3"/>
      <c r="AQW235" s="3"/>
      <c r="AQX235" s="3"/>
      <c r="AQY235" s="3"/>
      <c r="AQZ235" s="3"/>
      <c r="ARA235" s="3"/>
      <c r="ARB235" s="3"/>
      <c r="ARC235" s="3"/>
      <c r="ARD235" s="3"/>
      <c r="ARE235" s="3"/>
      <c r="ARF235" s="3"/>
      <c r="ARG235" s="3"/>
      <c r="ARH235" s="3"/>
      <c r="ARI235" s="3"/>
      <c r="ARJ235" s="3"/>
      <c r="ARK235" s="3"/>
      <c r="ARL235" s="3"/>
      <c r="ARM235" s="3"/>
      <c r="ARN235" s="3"/>
      <c r="ARO235" s="3"/>
      <c r="ARP235" s="3"/>
      <c r="ARQ235" s="3"/>
      <c r="ARR235" s="3"/>
      <c r="ARS235" s="3"/>
      <c r="ART235" s="3"/>
      <c r="ARU235" s="3"/>
      <c r="ARV235" s="3"/>
      <c r="ARW235" s="3"/>
      <c r="ARX235" s="3"/>
      <c r="ARY235" s="3"/>
      <c r="ARZ235" s="3"/>
      <c r="ASA235" s="3"/>
      <c r="ASB235" s="3"/>
      <c r="ASC235" s="3"/>
      <c r="ASD235" s="3"/>
      <c r="ASE235" s="3"/>
      <c r="ASF235" s="3"/>
      <c r="ASG235" s="3"/>
      <c r="ASH235" s="3"/>
      <c r="ASI235" s="3"/>
      <c r="ASJ235" s="3"/>
      <c r="ASK235" s="3"/>
      <c r="ASL235" s="3"/>
      <c r="ASM235" s="3"/>
      <c r="ASN235" s="3"/>
      <c r="ASO235" s="3"/>
      <c r="ASP235" s="3"/>
      <c r="ASQ235" s="3"/>
      <c r="ASR235" s="3"/>
      <c r="ASS235" s="3"/>
      <c r="AST235" s="3"/>
      <c r="ASU235" s="3"/>
      <c r="ASV235" s="3"/>
      <c r="ASW235" s="3"/>
      <c r="ASX235" s="3"/>
      <c r="ASY235" s="3"/>
      <c r="ASZ235" s="3"/>
      <c r="ATA235" s="3"/>
      <c r="ATB235" s="3"/>
      <c r="ATC235" s="3"/>
      <c r="ATD235" s="3"/>
      <c r="ATE235" s="3"/>
      <c r="ATF235" s="3"/>
      <c r="ATG235" s="3"/>
      <c r="ATH235" s="3"/>
      <c r="ATI235" s="3"/>
      <c r="ATJ235" s="3"/>
      <c r="ATK235" s="3"/>
      <c r="ATL235" s="3"/>
      <c r="ATM235" s="3"/>
      <c r="ATN235" s="3"/>
      <c r="ATO235" s="3"/>
      <c r="ATP235" s="3"/>
      <c r="ATQ235" s="3"/>
      <c r="ATR235" s="3"/>
      <c r="ATS235" s="3"/>
      <c r="ATT235" s="3"/>
      <c r="ATU235" s="3"/>
      <c r="ATV235" s="3"/>
      <c r="ATW235" s="3"/>
      <c r="ATX235" s="3"/>
      <c r="ATY235" s="3"/>
      <c r="ATZ235" s="3"/>
      <c r="AUA235" s="3"/>
      <c r="AUB235" s="3"/>
      <c r="AUC235" s="3"/>
      <c r="AUD235" s="3"/>
      <c r="AUE235" s="3"/>
      <c r="AUF235" s="3"/>
      <c r="AUG235" s="3"/>
      <c r="AUH235" s="3"/>
      <c r="AUI235" s="3"/>
      <c r="AUJ235" s="3"/>
      <c r="AUK235" s="3"/>
      <c r="AUL235" s="3"/>
      <c r="AUM235" s="3"/>
      <c r="AUN235" s="3"/>
      <c r="AUO235" s="3"/>
      <c r="AUP235" s="3"/>
      <c r="AUQ235" s="3"/>
      <c r="AUR235" s="3"/>
      <c r="AUS235" s="3"/>
      <c r="AUT235" s="3"/>
      <c r="AUU235" s="3"/>
      <c r="AUV235" s="3"/>
      <c r="AUW235" s="3"/>
      <c r="AUX235" s="3"/>
      <c r="AUY235" s="3"/>
      <c r="AUZ235" s="3"/>
      <c r="AVA235" s="3"/>
      <c r="AVB235" s="3"/>
      <c r="AVC235" s="3"/>
      <c r="AVD235" s="3"/>
      <c r="AVE235" s="3"/>
      <c r="AVF235" s="3"/>
      <c r="AVG235" s="3"/>
      <c r="AVH235" s="3"/>
      <c r="AVI235" s="3"/>
      <c r="AVJ235" s="3"/>
      <c r="AVK235" s="3"/>
      <c r="AVL235" s="3"/>
      <c r="AVM235" s="3"/>
      <c r="AVN235" s="3"/>
      <c r="AVO235" s="3"/>
      <c r="AVP235" s="3"/>
      <c r="AVQ235" s="3"/>
      <c r="AVR235" s="3"/>
      <c r="AVS235" s="3"/>
      <c r="AVT235" s="3"/>
      <c r="AVU235" s="3"/>
      <c r="AVV235" s="3"/>
      <c r="AVW235" s="3"/>
      <c r="AVX235" s="3"/>
      <c r="AVY235" s="3"/>
      <c r="AVZ235" s="3"/>
      <c r="AWA235" s="3"/>
      <c r="AWB235" s="3"/>
      <c r="AWC235" s="3"/>
      <c r="AWD235" s="3"/>
      <c r="AWE235" s="3"/>
      <c r="AWF235" s="3"/>
      <c r="AWG235" s="3"/>
      <c r="AWH235" s="3"/>
      <c r="AWI235" s="3"/>
      <c r="AWJ235" s="3"/>
      <c r="AWK235" s="3"/>
      <c r="AWL235" s="3"/>
      <c r="AWM235" s="3"/>
      <c r="AWN235" s="3"/>
      <c r="AWO235" s="3"/>
      <c r="AWP235" s="3"/>
      <c r="AWQ235" s="3"/>
      <c r="AWR235" s="3"/>
      <c r="AWS235" s="3"/>
      <c r="AWT235" s="3"/>
      <c r="AWU235" s="3"/>
      <c r="AWV235" s="3"/>
      <c r="AWW235" s="3"/>
      <c r="AWX235" s="3"/>
      <c r="AWY235" s="3"/>
      <c r="AWZ235" s="3"/>
      <c r="AXA235" s="3"/>
      <c r="AXB235" s="3"/>
      <c r="AXC235" s="3"/>
      <c r="AXD235" s="3"/>
      <c r="AXE235" s="3"/>
      <c r="AXF235" s="3"/>
      <c r="AXG235" s="3"/>
      <c r="AXH235" s="3"/>
      <c r="AXI235" s="3"/>
      <c r="AXJ235" s="3"/>
      <c r="AXK235" s="3"/>
      <c r="AXL235" s="3"/>
      <c r="AXM235" s="3"/>
      <c r="AXN235" s="3"/>
      <c r="AXO235" s="3"/>
      <c r="AXP235" s="3"/>
      <c r="AXQ235" s="3"/>
      <c r="AXR235" s="3"/>
      <c r="AXS235" s="3"/>
      <c r="AXT235" s="3"/>
      <c r="AXU235" s="3"/>
      <c r="AXV235" s="3"/>
      <c r="AXW235" s="3"/>
      <c r="AXX235" s="3"/>
      <c r="AXY235" s="3"/>
      <c r="AXZ235" s="3"/>
      <c r="AYA235" s="3"/>
      <c r="AYB235" s="3"/>
      <c r="AYC235" s="3"/>
      <c r="AYD235" s="3"/>
      <c r="AYE235" s="3"/>
      <c r="AYF235" s="3"/>
      <c r="AYG235" s="3"/>
      <c r="AYH235" s="3"/>
      <c r="AYI235" s="3"/>
      <c r="AYJ235" s="3"/>
      <c r="AYK235" s="3"/>
      <c r="AYL235" s="3"/>
      <c r="AYM235" s="3"/>
      <c r="AYN235" s="3"/>
      <c r="AYO235" s="3"/>
      <c r="AYP235" s="3"/>
      <c r="AYQ235" s="3"/>
      <c r="AYR235" s="3"/>
      <c r="AYS235" s="3"/>
      <c r="AYT235" s="3"/>
      <c r="AYU235" s="3"/>
      <c r="AYV235" s="3"/>
      <c r="AYW235" s="3"/>
      <c r="AYX235" s="3"/>
      <c r="AYY235" s="3"/>
      <c r="AYZ235" s="3"/>
      <c r="AZA235" s="3"/>
      <c r="AZB235" s="3"/>
      <c r="AZC235" s="3"/>
      <c r="AZD235" s="3"/>
      <c r="AZE235" s="3"/>
      <c r="AZF235" s="3"/>
      <c r="AZG235" s="3"/>
      <c r="AZH235" s="3"/>
      <c r="AZI235" s="3"/>
      <c r="AZJ235" s="3"/>
      <c r="AZK235" s="3"/>
      <c r="AZL235" s="3"/>
      <c r="AZM235" s="3"/>
      <c r="AZN235" s="3"/>
      <c r="AZO235" s="3"/>
      <c r="AZP235" s="3"/>
      <c r="AZQ235" s="3"/>
      <c r="AZR235" s="3"/>
      <c r="AZS235" s="3"/>
      <c r="AZT235" s="3"/>
      <c r="AZU235" s="3"/>
      <c r="AZV235" s="3"/>
      <c r="AZW235" s="3"/>
      <c r="AZX235" s="3"/>
      <c r="AZY235" s="3"/>
      <c r="AZZ235" s="3"/>
      <c r="BAA235" s="3"/>
      <c r="BAB235" s="3"/>
      <c r="BAC235" s="3"/>
      <c r="BAD235" s="3"/>
      <c r="BAE235" s="3"/>
      <c r="BAF235" s="3"/>
      <c r="BAG235" s="3"/>
      <c r="BAH235" s="3"/>
      <c r="BAI235" s="3"/>
      <c r="BAJ235" s="3"/>
      <c r="BAK235" s="3"/>
      <c r="BAL235" s="3"/>
      <c r="BAM235" s="3"/>
      <c r="BAN235" s="3"/>
      <c r="BAO235" s="3"/>
      <c r="BAP235" s="3"/>
      <c r="BAQ235" s="3"/>
      <c r="BAR235" s="3"/>
      <c r="BAS235" s="3"/>
      <c r="BAT235" s="3"/>
      <c r="BAU235" s="3"/>
      <c r="BAV235" s="3"/>
      <c r="BAW235" s="3"/>
      <c r="BAX235" s="3"/>
      <c r="BAY235" s="3"/>
      <c r="BAZ235" s="3"/>
      <c r="BBA235" s="3"/>
      <c r="BBB235" s="3"/>
      <c r="BBC235" s="3"/>
      <c r="BBD235" s="3"/>
      <c r="BBE235" s="3"/>
      <c r="BBF235" s="3"/>
      <c r="BBG235" s="3"/>
      <c r="BBH235" s="3"/>
      <c r="BBI235" s="3"/>
      <c r="BBJ235" s="3"/>
      <c r="BBK235" s="3"/>
      <c r="BBL235" s="3"/>
      <c r="BBM235" s="3"/>
      <c r="BBN235" s="3"/>
      <c r="BBO235" s="3"/>
      <c r="BBP235" s="3"/>
      <c r="BBQ235" s="3"/>
      <c r="BBR235" s="3"/>
      <c r="BBS235" s="3"/>
      <c r="BBT235" s="3"/>
      <c r="BBU235" s="3"/>
      <c r="BBV235" s="3"/>
      <c r="BBW235" s="3"/>
      <c r="BBX235" s="3"/>
      <c r="BBY235" s="3"/>
      <c r="BBZ235" s="3"/>
      <c r="BCA235" s="3"/>
      <c r="BCB235" s="3"/>
      <c r="BCC235" s="3"/>
      <c r="BCD235" s="3"/>
      <c r="BCE235" s="3"/>
      <c r="BCF235" s="3"/>
      <c r="BCG235" s="3"/>
      <c r="BCH235" s="3"/>
      <c r="BCI235" s="3"/>
      <c r="BCJ235" s="3"/>
      <c r="BCK235" s="3"/>
      <c r="BCL235" s="3"/>
      <c r="BCM235" s="3"/>
      <c r="BCN235" s="3"/>
      <c r="BCO235" s="3"/>
      <c r="BCP235" s="3"/>
      <c r="BCQ235" s="3"/>
      <c r="BCR235" s="3"/>
      <c r="BCS235" s="3"/>
      <c r="BCT235" s="3"/>
      <c r="BCU235" s="3"/>
      <c r="BCV235" s="3"/>
      <c r="BCW235" s="3"/>
      <c r="BCX235" s="3"/>
      <c r="BCY235" s="3"/>
      <c r="BCZ235" s="3"/>
      <c r="BDA235" s="3"/>
      <c r="BDB235" s="3"/>
      <c r="BDC235" s="3"/>
      <c r="BDD235" s="3"/>
      <c r="BDE235" s="3"/>
      <c r="BDF235" s="3"/>
      <c r="BDG235" s="3"/>
      <c r="BDH235" s="3"/>
      <c r="BDI235" s="3"/>
      <c r="BDJ235" s="3"/>
      <c r="BDK235" s="3"/>
      <c r="BDL235" s="3"/>
      <c r="BDM235" s="3"/>
      <c r="BDN235" s="3"/>
      <c r="BDO235" s="3"/>
      <c r="BDP235" s="3"/>
      <c r="BDQ235" s="3"/>
      <c r="BDR235" s="3"/>
      <c r="BDS235" s="3"/>
      <c r="BDT235" s="3"/>
      <c r="BDU235" s="3"/>
      <c r="BDV235" s="3"/>
      <c r="BDW235" s="3"/>
      <c r="BDX235" s="3"/>
      <c r="BDY235" s="3"/>
      <c r="BDZ235" s="3"/>
      <c r="BEA235" s="3"/>
      <c r="BEB235" s="3"/>
      <c r="BEC235" s="3"/>
      <c r="BED235" s="3"/>
      <c r="BEE235" s="3"/>
      <c r="BEF235" s="3"/>
      <c r="BEG235" s="3"/>
      <c r="BEH235" s="3"/>
      <c r="BEI235" s="3"/>
      <c r="BEJ235" s="3"/>
      <c r="BEK235" s="3"/>
      <c r="BEL235" s="3"/>
      <c r="BEM235" s="3"/>
      <c r="BEN235" s="3"/>
      <c r="BEO235" s="3"/>
      <c r="BEP235" s="3"/>
      <c r="BEQ235" s="3"/>
      <c r="BER235" s="3"/>
      <c r="BES235" s="3"/>
      <c r="BET235" s="3"/>
      <c r="BEU235" s="3"/>
      <c r="BEV235" s="3"/>
      <c r="BEW235" s="3"/>
      <c r="BEX235" s="3"/>
      <c r="BEY235" s="3"/>
      <c r="BEZ235" s="3"/>
      <c r="BFA235" s="3"/>
      <c r="BFB235" s="3"/>
      <c r="BFC235" s="3"/>
      <c r="BFD235" s="3"/>
      <c r="BFE235" s="3"/>
      <c r="BFF235" s="3"/>
      <c r="BFG235" s="3"/>
      <c r="BFH235" s="3"/>
      <c r="BFI235" s="3"/>
      <c r="BFJ235" s="3"/>
      <c r="BFK235" s="3"/>
      <c r="BFL235" s="3"/>
      <c r="BFM235" s="3"/>
      <c r="BFN235" s="3"/>
      <c r="BFO235" s="3"/>
      <c r="BFP235" s="3"/>
      <c r="BFQ235" s="3"/>
      <c r="BFR235" s="3"/>
      <c r="BFS235" s="3"/>
      <c r="BFT235" s="3"/>
      <c r="BFU235" s="3"/>
      <c r="BFV235" s="3"/>
      <c r="BFW235" s="3"/>
      <c r="BFX235" s="3"/>
      <c r="BFY235" s="3"/>
      <c r="BFZ235" s="3"/>
      <c r="BGA235" s="3"/>
      <c r="BGB235" s="3"/>
      <c r="BGC235" s="3"/>
      <c r="BGD235" s="3"/>
      <c r="BGE235" s="3"/>
      <c r="BGF235" s="3"/>
      <c r="BGG235" s="3"/>
      <c r="BGH235" s="3"/>
      <c r="BGI235" s="3"/>
      <c r="BGJ235" s="3"/>
      <c r="BGK235" s="3"/>
      <c r="BGL235" s="3"/>
      <c r="BGM235" s="3"/>
      <c r="BGN235" s="3"/>
      <c r="BGO235" s="3"/>
      <c r="BGP235" s="3"/>
      <c r="BGQ235" s="3"/>
      <c r="BGR235" s="3"/>
      <c r="BGS235" s="3"/>
      <c r="BGT235" s="3"/>
      <c r="BGU235" s="3"/>
      <c r="BGV235" s="3"/>
      <c r="BGW235" s="3"/>
      <c r="BGX235" s="3"/>
      <c r="BGY235" s="3"/>
      <c r="BGZ235" s="3"/>
      <c r="BHA235" s="3"/>
      <c r="BHB235" s="3"/>
      <c r="BHC235" s="3"/>
      <c r="BHD235" s="3"/>
      <c r="BHE235" s="3"/>
      <c r="BHF235" s="3"/>
      <c r="BHG235" s="3"/>
      <c r="BHH235" s="3"/>
      <c r="BHI235" s="3"/>
      <c r="BHJ235" s="3"/>
      <c r="BHK235" s="3"/>
      <c r="BHL235" s="3"/>
      <c r="BHM235" s="3"/>
      <c r="BHN235" s="3"/>
      <c r="BHO235" s="3"/>
      <c r="BHP235" s="3"/>
      <c r="BHQ235" s="3"/>
      <c r="BHR235" s="3"/>
      <c r="BHS235" s="3"/>
      <c r="BHT235" s="3"/>
      <c r="BHU235" s="3"/>
      <c r="BHV235" s="3"/>
      <c r="BHW235" s="3"/>
      <c r="BHX235" s="3"/>
      <c r="BHY235" s="3"/>
      <c r="BHZ235" s="3"/>
      <c r="BIA235" s="3"/>
      <c r="BIB235" s="3"/>
      <c r="BIC235" s="3"/>
      <c r="BID235" s="3"/>
      <c r="BIE235" s="3"/>
      <c r="BIF235" s="3"/>
      <c r="BIG235" s="3"/>
      <c r="BIH235" s="3"/>
      <c r="BII235" s="3"/>
      <c r="BIJ235" s="3"/>
      <c r="BIK235" s="3"/>
      <c r="BIL235" s="3"/>
      <c r="BIM235" s="3"/>
      <c r="BIN235" s="3"/>
      <c r="BIO235" s="3"/>
      <c r="BIP235" s="3"/>
      <c r="BIQ235" s="3"/>
      <c r="BIR235" s="3"/>
      <c r="BIS235" s="3"/>
      <c r="BIT235" s="3"/>
      <c r="BIU235" s="3"/>
      <c r="BIV235" s="3"/>
      <c r="BIW235" s="3"/>
      <c r="BIX235" s="3"/>
      <c r="BIY235" s="3"/>
      <c r="BIZ235" s="3"/>
      <c r="BJA235" s="3"/>
      <c r="BJB235" s="3"/>
      <c r="BJC235" s="3"/>
      <c r="BJD235" s="3"/>
      <c r="BJE235" s="3"/>
      <c r="BJF235" s="3"/>
      <c r="BJG235" s="3"/>
      <c r="BJH235" s="3"/>
      <c r="BJI235" s="3"/>
      <c r="BJJ235" s="3"/>
      <c r="BJK235" s="3"/>
      <c r="BJL235" s="3"/>
      <c r="BJM235" s="3"/>
      <c r="BJN235" s="3"/>
      <c r="BJO235" s="3"/>
      <c r="BJP235" s="3"/>
      <c r="BJQ235" s="3"/>
      <c r="BJR235" s="3"/>
      <c r="BJS235" s="3"/>
      <c r="BJT235" s="3"/>
      <c r="BJU235" s="3"/>
      <c r="BJV235" s="3"/>
      <c r="BJW235" s="3"/>
      <c r="BJX235" s="3"/>
      <c r="BJY235" s="3"/>
      <c r="BJZ235" s="3"/>
      <c r="BKA235" s="3"/>
      <c r="BKB235" s="3"/>
      <c r="BKC235" s="3"/>
      <c r="BKD235" s="3"/>
      <c r="BKE235" s="3"/>
      <c r="BKF235" s="3"/>
      <c r="BKG235" s="3"/>
      <c r="BKH235" s="3"/>
      <c r="BKI235" s="3"/>
      <c r="BKJ235" s="3"/>
      <c r="BKK235" s="3"/>
      <c r="BKL235" s="3"/>
      <c r="BKM235" s="3"/>
      <c r="BKN235" s="3"/>
      <c r="BKO235" s="3"/>
      <c r="BKP235" s="3"/>
      <c r="BKQ235" s="3"/>
      <c r="BKR235" s="3"/>
      <c r="BKS235" s="3"/>
      <c r="BKT235" s="3"/>
      <c r="BKU235" s="3"/>
      <c r="BKV235" s="3"/>
      <c r="BKW235" s="3"/>
      <c r="BKX235" s="3"/>
      <c r="BKY235" s="3"/>
      <c r="BKZ235" s="3"/>
      <c r="BLA235" s="3"/>
      <c r="BLB235" s="3"/>
      <c r="BLC235" s="3"/>
      <c r="BLD235" s="3"/>
      <c r="BLE235" s="3"/>
      <c r="BLF235" s="3"/>
      <c r="BLG235" s="3"/>
      <c r="BLH235" s="3"/>
      <c r="BLI235" s="3"/>
      <c r="BLJ235" s="3"/>
      <c r="BLK235" s="3"/>
      <c r="BLL235" s="3"/>
      <c r="BLM235" s="3"/>
      <c r="BLN235" s="3"/>
      <c r="BLO235" s="3"/>
      <c r="BLP235" s="3"/>
      <c r="BLQ235" s="3"/>
      <c r="BLR235" s="3"/>
      <c r="BLS235" s="3"/>
      <c r="BLT235" s="3"/>
      <c r="BLU235" s="3"/>
      <c r="BLV235" s="3"/>
      <c r="BLW235" s="3"/>
      <c r="BLX235" s="3"/>
      <c r="BLY235" s="3"/>
      <c r="BLZ235" s="3"/>
      <c r="BMA235" s="3"/>
      <c r="BMB235" s="3"/>
      <c r="BMC235" s="3"/>
      <c r="BMD235" s="3"/>
      <c r="BME235" s="3"/>
      <c r="BMF235" s="3"/>
      <c r="BMG235" s="3"/>
      <c r="BMH235" s="3"/>
      <c r="BMI235" s="3"/>
      <c r="BMJ235" s="3"/>
      <c r="BMK235" s="3"/>
      <c r="BML235" s="3"/>
      <c r="BMM235" s="3"/>
      <c r="BMN235" s="3"/>
      <c r="BMO235" s="3"/>
      <c r="BMP235" s="3"/>
      <c r="BMQ235" s="3"/>
      <c r="BMR235" s="3"/>
      <c r="BMS235" s="3"/>
      <c r="BMT235" s="3"/>
      <c r="BMU235" s="3"/>
      <c r="BMV235" s="3"/>
      <c r="BMW235" s="3"/>
      <c r="BMX235" s="3"/>
      <c r="BMY235" s="3"/>
      <c r="BMZ235" s="3"/>
      <c r="BNA235" s="3"/>
      <c r="BNB235" s="3"/>
      <c r="BNC235" s="3"/>
      <c r="BND235" s="3"/>
      <c r="BNE235" s="3"/>
      <c r="BNF235" s="3"/>
      <c r="BNG235" s="3"/>
      <c r="BNH235" s="3"/>
      <c r="BNI235" s="3"/>
      <c r="BNJ235" s="3"/>
      <c r="BNK235" s="3"/>
      <c r="BNL235" s="3"/>
      <c r="BNM235" s="3"/>
      <c r="BNN235" s="3"/>
      <c r="BNO235" s="3"/>
      <c r="BNP235" s="3"/>
      <c r="BNQ235" s="3"/>
      <c r="BNR235" s="3"/>
      <c r="BNS235" s="3"/>
      <c r="BNT235" s="3"/>
      <c r="BNU235" s="3"/>
      <c r="BNV235" s="3"/>
      <c r="BNW235" s="3"/>
      <c r="BNX235" s="3"/>
      <c r="BNY235" s="3"/>
      <c r="BNZ235" s="3"/>
      <c r="BOA235" s="3"/>
      <c r="BOB235" s="3"/>
      <c r="BOC235" s="3"/>
      <c r="BOD235" s="3"/>
      <c r="BOE235" s="3"/>
      <c r="BOF235" s="3"/>
      <c r="BOG235" s="3"/>
      <c r="BOH235" s="3"/>
      <c r="BOI235" s="3"/>
      <c r="BOJ235" s="3"/>
      <c r="BOK235" s="3"/>
      <c r="BOL235" s="3"/>
      <c r="BOM235" s="3"/>
      <c r="BON235" s="3"/>
      <c r="BOO235" s="3"/>
      <c r="BOP235" s="3"/>
      <c r="BOQ235" s="3"/>
      <c r="BOR235" s="3"/>
      <c r="BOS235" s="3"/>
      <c r="BOT235" s="3"/>
      <c r="BOU235" s="3"/>
      <c r="BOV235" s="3"/>
      <c r="BOW235" s="3"/>
      <c r="BOX235" s="3"/>
      <c r="BOY235" s="3"/>
      <c r="BOZ235" s="3"/>
      <c r="BPA235" s="3"/>
      <c r="BPB235" s="3"/>
      <c r="BPC235" s="3"/>
      <c r="BPD235" s="3"/>
      <c r="BPE235" s="3"/>
      <c r="BPF235" s="3"/>
      <c r="BPG235" s="3"/>
      <c r="BPH235" s="3"/>
      <c r="BPI235" s="3"/>
      <c r="BPJ235" s="3"/>
      <c r="BPK235" s="3"/>
      <c r="BPL235" s="3"/>
      <c r="BPM235" s="3"/>
      <c r="BPN235" s="3"/>
      <c r="BPO235" s="3"/>
      <c r="BPP235" s="3"/>
      <c r="BPQ235" s="3"/>
      <c r="BPR235" s="3"/>
      <c r="BPS235" s="3"/>
      <c r="BPT235" s="3"/>
      <c r="BPU235" s="3"/>
      <c r="BPV235" s="3"/>
      <c r="BPW235" s="3"/>
      <c r="BPX235" s="3"/>
      <c r="BPY235" s="3"/>
      <c r="BPZ235" s="3"/>
      <c r="BQA235" s="3"/>
      <c r="BQB235" s="3"/>
      <c r="BQC235" s="3"/>
      <c r="BQD235" s="3"/>
      <c r="BQE235" s="3"/>
      <c r="BQF235" s="3"/>
      <c r="BQG235" s="3"/>
      <c r="BQH235" s="3"/>
      <c r="BQI235" s="3"/>
      <c r="BQJ235" s="3"/>
      <c r="BQK235" s="3"/>
      <c r="BQL235" s="3"/>
      <c r="BQM235" s="3"/>
      <c r="BQN235" s="3"/>
      <c r="BQO235" s="3"/>
      <c r="BQP235" s="3"/>
      <c r="BQQ235" s="3"/>
      <c r="BQR235" s="3"/>
      <c r="BQS235" s="3"/>
      <c r="BQT235" s="3"/>
      <c r="BQU235" s="3"/>
      <c r="BQV235" s="3"/>
      <c r="BQW235" s="3"/>
      <c r="BQX235" s="3"/>
      <c r="BQY235" s="3"/>
      <c r="BQZ235" s="3"/>
      <c r="BRA235" s="3"/>
      <c r="BRB235" s="3"/>
      <c r="BRC235" s="3"/>
      <c r="BRD235" s="3"/>
      <c r="BRE235" s="3"/>
      <c r="BRF235" s="3"/>
      <c r="BRG235" s="3"/>
      <c r="BRH235" s="3"/>
      <c r="BRI235" s="3"/>
      <c r="BRJ235" s="3"/>
      <c r="BRK235" s="3"/>
      <c r="BRL235" s="3"/>
      <c r="BRM235" s="3"/>
      <c r="BRN235" s="3"/>
      <c r="BRO235" s="3"/>
      <c r="BRP235" s="3"/>
      <c r="BRQ235" s="3"/>
      <c r="BRR235" s="3"/>
      <c r="BRS235" s="3"/>
      <c r="BRT235" s="3"/>
      <c r="BRU235" s="3"/>
      <c r="BRV235" s="3"/>
      <c r="BRW235" s="3"/>
      <c r="BRX235" s="3"/>
      <c r="BRY235" s="3"/>
      <c r="BRZ235" s="3"/>
      <c r="BSA235" s="3"/>
      <c r="BSB235" s="3"/>
      <c r="BSC235" s="3"/>
      <c r="BSD235" s="3"/>
      <c r="BSE235" s="3"/>
      <c r="BSF235" s="3"/>
      <c r="BSG235" s="3"/>
      <c r="BSH235" s="3"/>
      <c r="BSI235" s="3"/>
      <c r="BSJ235" s="3"/>
      <c r="BSK235" s="3"/>
      <c r="BSL235" s="3"/>
      <c r="BSM235" s="3"/>
      <c r="BSN235" s="3"/>
      <c r="BSO235" s="3"/>
      <c r="BSP235" s="3"/>
      <c r="BSQ235" s="3"/>
      <c r="BSR235" s="3"/>
      <c r="BSS235" s="3"/>
      <c r="BST235" s="3"/>
      <c r="BSU235" s="3"/>
      <c r="BSV235" s="3"/>
      <c r="BSW235" s="3"/>
      <c r="BSX235" s="3"/>
      <c r="BSY235" s="3"/>
      <c r="BSZ235" s="3"/>
      <c r="BTA235" s="3"/>
      <c r="BTB235" s="3"/>
      <c r="BTC235" s="3"/>
      <c r="BTD235" s="3"/>
      <c r="BTE235" s="3"/>
      <c r="BTF235" s="3"/>
      <c r="BTG235" s="3"/>
      <c r="BTH235" s="3"/>
      <c r="BTI235" s="3"/>
      <c r="BTJ235" s="3"/>
      <c r="BTK235" s="3"/>
      <c r="BTL235" s="3"/>
      <c r="BTM235" s="3"/>
      <c r="BTN235" s="3"/>
      <c r="BTO235" s="3"/>
      <c r="BTP235" s="3"/>
      <c r="BTQ235" s="3"/>
      <c r="BTR235" s="3"/>
      <c r="BTS235" s="3"/>
      <c r="BTT235" s="3"/>
      <c r="BTU235" s="3"/>
      <c r="BTV235" s="3"/>
      <c r="BTW235" s="3"/>
      <c r="BTX235" s="3"/>
      <c r="BTY235" s="3"/>
      <c r="BTZ235" s="3"/>
      <c r="BUA235" s="3"/>
      <c r="BUB235" s="3"/>
      <c r="BUC235" s="3"/>
      <c r="BUD235" s="3"/>
      <c r="BUE235" s="3"/>
      <c r="BUF235" s="3"/>
      <c r="BUG235" s="3"/>
      <c r="BUH235" s="3"/>
      <c r="BUI235" s="3"/>
      <c r="BUJ235" s="3"/>
      <c r="BUK235" s="3"/>
      <c r="BUL235" s="3"/>
      <c r="BUM235" s="3"/>
      <c r="BUN235" s="3"/>
      <c r="BUO235" s="3"/>
      <c r="BUP235" s="3"/>
      <c r="BUQ235" s="3"/>
      <c r="BUR235" s="3"/>
      <c r="BUS235" s="3"/>
      <c r="BUT235" s="3"/>
      <c r="BUU235" s="3"/>
      <c r="BUV235" s="3"/>
      <c r="BUW235" s="3"/>
      <c r="BUX235" s="3"/>
      <c r="BUY235" s="3"/>
      <c r="BUZ235" s="3"/>
      <c r="BVA235" s="3"/>
      <c r="BVB235" s="3"/>
      <c r="BVC235" s="3"/>
      <c r="BVD235" s="3"/>
      <c r="BVE235" s="3"/>
      <c r="BVF235" s="3"/>
      <c r="BVG235" s="3"/>
      <c r="BVH235" s="3"/>
      <c r="BVI235" s="3"/>
      <c r="BVJ235" s="3"/>
      <c r="BVK235" s="3"/>
      <c r="BVL235" s="3"/>
      <c r="BVM235" s="3"/>
      <c r="BVN235" s="3"/>
      <c r="BVO235" s="3"/>
      <c r="BVP235" s="3"/>
      <c r="BVQ235" s="3"/>
      <c r="BVR235" s="3"/>
      <c r="BVS235" s="3"/>
      <c r="BVT235" s="3"/>
      <c r="BVU235" s="3"/>
      <c r="BVV235" s="3"/>
      <c r="BVW235" s="3"/>
      <c r="BVX235" s="3"/>
      <c r="BVY235" s="3"/>
      <c r="BVZ235" s="3"/>
      <c r="BWA235" s="3"/>
      <c r="BWB235" s="3"/>
      <c r="BWC235" s="3"/>
      <c r="BWD235" s="3"/>
      <c r="BWE235" s="3"/>
      <c r="BWF235" s="3"/>
      <c r="BWG235" s="3"/>
      <c r="BWH235" s="3"/>
      <c r="BWI235" s="3"/>
      <c r="BWJ235" s="3"/>
      <c r="BWK235" s="3"/>
      <c r="BWL235" s="3"/>
      <c r="BWM235" s="3"/>
      <c r="BWN235" s="3"/>
      <c r="BWO235" s="3"/>
      <c r="BWP235" s="3"/>
      <c r="BWQ235" s="3"/>
      <c r="BWR235" s="3"/>
      <c r="BWS235" s="3"/>
      <c r="BWT235" s="3"/>
      <c r="BWU235" s="3"/>
      <c r="BWV235" s="3"/>
      <c r="BWW235" s="3"/>
      <c r="BWX235" s="3"/>
      <c r="BWY235" s="3"/>
      <c r="BWZ235" s="3"/>
      <c r="BXA235" s="3"/>
      <c r="BXB235" s="3"/>
      <c r="BXC235" s="3"/>
      <c r="BXD235" s="3"/>
      <c r="BXE235" s="3"/>
      <c r="BXF235" s="3"/>
      <c r="BXG235" s="3"/>
      <c r="BXH235" s="3"/>
      <c r="BXI235" s="3"/>
      <c r="BXJ235" s="3"/>
      <c r="BXK235" s="3"/>
      <c r="BXL235" s="3"/>
      <c r="BXM235" s="3"/>
      <c r="BXN235" s="3"/>
      <c r="BXO235" s="3"/>
      <c r="BXP235" s="3"/>
      <c r="BXQ235" s="3"/>
      <c r="BXR235" s="3"/>
      <c r="BXS235" s="3"/>
      <c r="BXT235" s="3"/>
      <c r="BXU235" s="3"/>
      <c r="BXV235" s="3"/>
      <c r="BXW235" s="3"/>
      <c r="BXX235" s="3"/>
      <c r="BXY235" s="3"/>
      <c r="BXZ235" s="3"/>
      <c r="BYA235" s="3"/>
      <c r="BYB235" s="3"/>
      <c r="BYC235" s="3"/>
      <c r="BYD235" s="3"/>
      <c r="BYE235" s="3"/>
      <c r="BYF235" s="3"/>
      <c r="BYG235" s="3"/>
      <c r="BYH235" s="3"/>
      <c r="BYI235" s="3"/>
      <c r="BYJ235" s="3"/>
      <c r="BYK235" s="3"/>
      <c r="BYL235" s="3"/>
      <c r="BYM235" s="3"/>
      <c r="BYN235" s="3"/>
      <c r="BYO235" s="3"/>
      <c r="BYP235" s="3"/>
      <c r="BYQ235" s="3"/>
      <c r="BYR235" s="3"/>
      <c r="BYS235" s="3"/>
      <c r="BYT235" s="3"/>
      <c r="BYU235" s="3"/>
      <c r="BYV235" s="3"/>
      <c r="BYW235" s="3"/>
      <c r="BYX235" s="3"/>
      <c r="BYY235" s="3"/>
      <c r="BYZ235" s="3"/>
      <c r="BZA235" s="3"/>
      <c r="BZB235" s="3"/>
      <c r="BZC235" s="3"/>
      <c r="BZD235" s="3"/>
      <c r="BZE235" s="3"/>
      <c r="BZF235" s="3"/>
      <c r="BZG235" s="3"/>
      <c r="BZH235" s="3"/>
      <c r="BZI235" s="3"/>
      <c r="BZJ235" s="3"/>
      <c r="BZK235" s="3"/>
      <c r="BZL235" s="3"/>
      <c r="BZM235" s="3"/>
      <c r="BZN235" s="3"/>
      <c r="BZO235" s="3"/>
      <c r="BZP235" s="3"/>
      <c r="BZQ235" s="3"/>
      <c r="BZR235" s="3"/>
      <c r="BZS235" s="3"/>
      <c r="BZT235" s="3"/>
      <c r="BZU235" s="3"/>
      <c r="BZV235" s="3"/>
      <c r="BZW235" s="3"/>
      <c r="BZX235" s="3"/>
      <c r="BZY235" s="3"/>
      <c r="BZZ235" s="3"/>
      <c r="CAA235" s="3"/>
      <c r="CAB235" s="3"/>
      <c r="CAC235" s="3"/>
      <c r="CAD235" s="3"/>
      <c r="CAE235" s="3"/>
      <c r="CAF235" s="3"/>
      <c r="CAG235" s="3"/>
      <c r="CAH235" s="3"/>
      <c r="CAI235" s="3"/>
      <c r="CAJ235" s="3"/>
      <c r="CAK235" s="3"/>
      <c r="CAL235" s="3"/>
      <c r="CAM235" s="3"/>
      <c r="CAN235" s="3"/>
      <c r="CAO235" s="3"/>
      <c r="CAP235" s="3"/>
      <c r="CAQ235" s="3"/>
      <c r="CAR235" s="3"/>
      <c r="CAS235" s="3"/>
      <c r="CAT235" s="3"/>
      <c r="CAU235" s="3"/>
      <c r="CAV235" s="3"/>
      <c r="CAW235" s="3"/>
      <c r="CAX235" s="3"/>
      <c r="CAY235" s="3"/>
      <c r="CAZ235" s="3"/>
      <c r="CBA235" s="3"/>
      <c r="CBB235" s="3"/>
      <c r="CBC235" s="3"/>
      <c r="CBD235" s="3"/>
      <c r="CBE235" s="3"/>
      <c r="CBF235" s="3"/>
      <c r="CBG235" s="3"/>
      <c r="CBH235" s="3"/>
      <c r="CBI235" s="3"/>
      <c r="CBJ235" s="3"/>
      <c r="CBK235" s="3"/>
      <c r="CBL235" s="3"/>
      <c r="CBM235" s="3"/>
      <c r="CBN235" s="3"/>
      <c r="CBO235" s="3"/>
      <c r="CBP235" s="3"/>
      <c r="CBQ235" s="3"/>
      <c r="CBR235" s="3"/>
      <c r="CBS235" s="3"/>
      <c r="CBT235" s="3"/>
      <c r="CBU235" s="3"/>
      <c r="CBV235" s="3"/>
      <c r="CBW235" s="3"/>
      <c r="CBX235" s="3"/>
      <c r="CBY235" s="3"/>
      <c r="CBZ235" s="3"/>
      <c r="CCA235" s="3"/>
      <c r="CCB235" s="3"/>
      <c r="CCC235" s="3"/>
      <c r="CCD235" s="3"/>
      <c r="CCE235" s="3"/>
      <c r="CCF235" s="3"/>
      <c r="CCG235" s="3"/>
      <c r="CCH235" s="3"/>
      <c r="CCI235" s="3"/>
      <c r="CCJ235" s="3"/>
      <c r="CCK235" s="3"/>
      <c r="CCL235" s="3"/>
      <c r="CCM235" s="3"/>
      <c r="CCN235" s="3"/>
      <c r="CCO235" s="3"/>
      <c r="CCP235" s="3"/>
      <c r="CCQ235" s="3"/>
      <c r="CCR235" s="3"/>
      <c r="CCS235" s="3"/>
      <c r="CCT235" s="3"/>
      <c r="CCU235" s="3"/>
      <c r="CCV235" s="3"/>
      <c r="CCW235" s="3"/>
      <c r="CCX235" s="3"/>
      <c r="CCY235" s="3"/>
      <c r="CCZ235" s="3"/>
      <c r="CDA235" s="3"/>
      <c r="CDB235" s="3"/>
      <c r="CDC235" s="3"/>
      <c r="CDD235" s="3"/>
      <c r="CDE235" s="3"/>
      <c r="CDF235" s="3"/>
      <c r="CDG235" s="3"/>
      <c r="CDH235" s="3"/>
      <c r="CDI235" s="3"/>
      <c r="CDJ235" s="3"/>
      <c r="CDK235" s="3"/>
      <c r="CDL235" s="3"/>
      <c r="CDM235" s="3"/>
      <c r="CDN235" s="3"/>
      <c r="CDO235" s="3"/>
      <c r="CDP235" s="3"/>
      <c r="CDQ235" s="3"/>
      <c r="CDR235" s="3"/>
      <c r="CDS235" s="3"/>
      <c r="CDT235" s="3"/>
      <c r="CDU235" s="3"/>
      <c r="CDV235" s="3"/>
      <c r="CDW235" s="3"/>
      <c r="CDX235" s="3"/>
      <c r="CDY235" s="3"/>
      <c r="CDZ235" s="3"/>
      <c r="CEA235" s="3"/>
      <c r="CEB235" s="3"/>
      <c r="CEC235" s="3"/>
      <c r="CED235" s="3"/>
      <c r="CEE235" s="3"/>
      <c r="CEF235" s="3"/>
      <c r="CEG235" s="3"/>
      <c r="CEH235" s="3"/>
      <c r="CEI235" s="3"/>
      <c r="CEJ235" s="3"/>
      <c r="CEK235" s="3"/>
      <c r="CEL235" s="3"/>
      <c r="CEM235" s="3"/>
      <c r="CEN235" s="3"/>
      <c r="CEO235" s="3"/>
      <c r="CEP235" s="3"/>
      <c r="CEQ235" s="3"/>
      <c r="CER235" s="3"/>
      <c r="CES235" s="3"/>
      <c r="CET235" s="3"/>
      <c r="CEU235" s="3"/>
      <c r="CEV235" s="3"/>
      <c r="CEW235" s="3"/>
      <c r="CEX235" s="3"/>
      <c r="CEY235" s="3"/>
      <c r="CEZ235" s="3"/>
      <c r="CFA235" s="3"/>
      <c r="CFB235" s="3"/>
      <c r="CFC235" s="3"/>
      <c r="CFD235" s="3"/>
      <c r="CFE235" s="3"/>
      <c r="CFF235" s="3"/>
      <c r="CFG235" s="3"/>
      <c r="CFH235" s="3"/>
      <c r="CFI235" s="3"/>
      <c r="CFJ235" s="3"/>
      <c r="CFK235" s="3"/>
      <c r="CFL235" s="3"/>
      <c r="CFM235" s="3"/>
      <c r="CFN235" s="3"/>
      <c r="CFO235" s="3"/>
      <c r="CFP235" s="3"/>
      <c r="CFQ235" s="3"/>
      <c r="CFR235" s="3"/>
      <c r="CFS235" s="3"/>
      <c r="CFT235" s="3"/>
      <c r="CFU235" s="3"/>
      <c r="CFV235" s="3"/>
      <c r="CFW235" s="3"/>
      <c r="CFX235" s="3"/>
      <c r="CFY235" s="3"/>
      <c r="CFZ235" s="3"/>
      <c r="CGA235" s="3"/>
      <c r="CGB235" s="3"/>
      <c r="CGC235" s="3"/>
      <c r="CGD235" s="3"/>
      <c r="CGE235" s="3"/>
      <c r="CGF235" s="3"/>
      <c r="CGG235" s="3"/>
      <c r="CGH235" s="3"/>
      <c r="CGI235" s="3"/>
      <c r="CGJ235" s="3"/>
      <c r="CGK235" s="3"/>
      <c r="CGL235" s="3"/>
      <c r="CGM235" s="3"/>
      <c r="CGN235" s="3"/>
    </row>
  </sheetData>
  <mergeCells count="3">
    <mergeCell ref="J5:J9"/>
    <mergeCell ref="K5:K9"/>
    <mergeCell ref="L5:L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PPI EUT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2025-03-14T10:38:11Z</dcterms:modified>
</cp:coreProperties>
</file>