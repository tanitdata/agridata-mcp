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4" i="1" l="1"/>
  <c r="D34" i="1"/>
  <c r="C34" i="1"/>
  <c r="E31" i="1" l="1"/>
  <c r="E28" i="1"/>
  <c r="E25" i="1"/>
  <c r="E22" i="1"/>
  <c r="E19" i="1"/>
  <c r="E16" i="1"/>
  <c r="D31" i="1"/>
  <c r="D28" i="1"/>
  <c r="D25" i="1"/>
  <c r="D22" i="1"/>
  <c r="D19" i="1"/>
  <c r="D16" i="1"/>
  <c r="C31" i="1"/>
  <c r="C28" i="1"/>
  <c r="C25" i="1"/>
  <c r="C22" i="1"/>
  <c r="C19" i="1"/>
  <c r="C16" i="1"/>
</calcChain>
</file>

<file path=xl/sharedStrings.xml><?xml version="1.0" encoding="utf-8"?>
<sst xmlns="http://schemas.openxmlformats.org/spreadsheetml/2006/main" count="38" uniqueCount="8">
  <si>
    <t>Annee</t>
  </si>
  <si>
    <t>Port</t>
  </si>
  <si>
    <t xml:space="preserve">Nombre_flottilles_peche </t>
  </si>
  <si>
    <t>Production_peche_t</t>
  </si>
  <si>
    <t>Postes_emploi</t>
  </si>
  <si>
    <t>قلعة الأندلس</t>
  </si>
  <si>
    <t>رواد</t>
  </si>
  <si>
    <t xml:space="preserve">المجموع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</si>
</sst>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3" fontId="2" fillId="0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/>
    </xf>
  </cellXfs>
  <cellStyles count="2">
    <cellStyle name="Normal" xfId="0" builtinId="0"/>
    <cellStyle name="Normal 3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tabSelected="1" topLeftCell="A7" workbookViewId="0">
      <selection activeCell="E32" sqref="E32:E34"/>
    </sheetView>
  </sheetViews>
  <sheetFormatPr baseColWidth="10" defaultColWidth="9.140625" defaultRowHeight="15" x14ac:dyDescent="0.25"/>
  <cols>
    <col min="2" max="2" width="17.5703125" customWidth="1"/>
    <col min="3" max="3" width="24.42578125" customWidth="1"/>
    <col min="4" max="4" width="26.28515625" customWidth="1"/>
    <col min="5" max="5" width="15.42578125" customWidth="1"/>
  </cols>
  <sheetData>
    <row r="1" spans="1:5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6.5" thickBot="1" x14ac:dyDescent="0.3">
      <c r="A2">
        <v>2014</v>
      </c>
      <c r="B2" s="8" t="s">
        <v>5</v>
      </c>
      <c r="C2" s="4">
        <v>215</v>
      </c>
      <c r="D2" s="4">
        <v>148.465</v>
      </c>
      <c r="E2" s="4">
        <v>765</v>
      </c>
    </row>
    <row r="3" spans="1:5" ht="16.5" thickBot="1" x14ac:dyDescent="0.3">
      <c r="A3">
        <v>2014</v>
      </c>
      <c r="B3" s="4" t="s">
        <v>6</v>
      </c>
      <c r="C3" s="4">
        <v>81</v>
      </c>
      <c r="D3" s="6">
        <v>57.905000000000001</v>
      </c>
      <c r="E3" s="4">
        <v>200</v>
      </c>
    </row>
    <row r="4" spans="1:5" ht="16.5" thickBot="1" x14ac:dyDescent="0.3">
      <c r="A4">
        <v>2014</v>
      </c>
      <c r="B4" s="4" t="s">
        <v>7</v>
      </c>
      <c r="C4" s="5">
        <v>296</v>
      </c>
      <c r="D4" s="5">
        <v>206</v>
      </c>
      <c r="E4" s="5">
        <v>965</v>
      </c>
    </row>
    <row r="5" spans="1:5" ht="16.5" thickBot="1" x14ac:dyDescent="0.3">
      <c r="A5">
        <v>2015</v>
      </c>
      <c r="B5" s="8" t="s">
        <v>5</v>
      </c>
      <c r="C5" s="4">
        <v>205</v>
      </c>
      <c r="D5" s="4">
        <v>106.467</v>
      </c>
      <c r="E5" s="4">
        <v>795</v>
      </c>
    </row>
    <row r="6" spans="1:5" ht="16.5" thickBot="1" x14ac:dyDescent="0.3">
      <c r="A6">
        <v>2015</v>
      </c>
      <c r="B6" s="4" t="s">
        <v>6</v>
      </c>
      <c r="C6" s="4">
        <v>82</v>
      </c>
      <c r="D6" s="6">
        <v>61</v>
      </c>
      <c r="E6" s="4">
        <v>205</v>
      </c>
    </row>
    <row r="7" spans="1:5" ht="16.5" thickBot="1" x14ac:dyDescent="0.3">
      <c r="A7">
        <v>2015</v>
      </c>
      <c r="B7" s="4" t="s">
        <v>7</v>
      </c>
      <c r="C7" s="5">
        <v>287</v>
      </c>
      <c r="D7" s="5">
        <v>167</v>
      </c>
      <c r="E7" s="5">
        <v>1000</v>
      </c>
    </row>
    <row r="8" spans="1:5" ht="16.5" thickBot="1" x14ac:dyDescent="0.3">
      <c r="A8">
        <v>2016</v>
      </c>
      <c r="B8" s="8" t="s">
        <v>5</v>
      </c>
      <c r="C8" s="4">
        <v>194</v>
      </c>
      <c r="D8" s="4">
        <v>88.78</v>
      </c>
      <c r="E8" s="4">
        <v>790</v>
      </c>
    </row>
    <row r="9" spans="1:5" ht="16.5" thickBot="1" x14ac:dyDescent="0.3">
      <c r="A9">
        <v>2016</v>
      </c>
      <c r="B9" s="4" t="s">
        <v>6</v>
      </c>
      <c r="C9" s="4">
        <v>85</v>
      </c>
      <c r="D9" s="7">
        <v>34.65</v>
      </c>
      <c r="E9" s="4">
        <v>210</v>
      </c>
    </row>
    <row r="10" spans="1:5" ht="16.5" thickBot="1" x14ac:dyDescent="0.3">
      <c r="A10">
        <v>2016</v>
      </c>
      <c r="B10" s="4" t="s">
        <v>7</v>
      </c>
      <c r="C10" s="5">
        <v>279</v>
      </c>
      <c r="D10" s="5">
        <v>123</v>
      </c>
      <c r="E10" s="5">
        <v>1000</v>
      </c>
    </row>
    <row r="11" spans="1:5" ht="16.5" thickBot="1" x14ac:dyDescent="0.3">
      <c r="A11">
        <v>2017</v>
      </c>
      <c r="B11" s="8" t="s">
        <v>5</v>
      </c>
      <c r="C11" s="4">
        <v>193</v>
      </c>
      <c r="D11" s="4">
        <v>76</v>
      </c>
      <c r="E11" s="4">
        <v>826</v>
      </c>
    </row>
    <row r="12" spans="1:5" ht="16.5" thickBot="1" x14ac:dyDescent="0.3">
      <c r="A12">
        <v>2017</v>
      </c>
      <c r="B12" s="4" t="s">
        <v>6</v>
      </c>
      <c r="C12" s="4">
        <v>83</v>
      </c>
      <c r="D12" s="7">
        <v>29</v>
      </c>
      <c r="E12" s="4">
        <v>217</v>
      </c>
    </row>
    <row r="13" spans="1:5" ht="16.5" thickBot="1" x14ac:dyDescent="0.3">
      <c r="A13">
        <v>2017</v>
      </c>
      <c r="B13" s="4" t="s">
        <v>7</v>
      </c>
      <c r="C13" s="5">
        <v>276</v>
      </c>
      <c r="D13" s="5">
        <v>105</v>
      </c>
      <c r="E13" s="5">
        <v>1043</v>
      </c>
    </row>
    <row r="14" spans="1:5" ht="16.5" thickBot="1" x14ac:dyDescent="0.3">
      <c r="A14">
        <v>2018</v>
      </c>
      <c r="B14" s="8" t="s">
        <v>5</v>
      </c>
      <c r="C14" s="1">
        <v>194</v>
      </c>
      <c r="D14" s="1">
        <v>100</v>
      </c>
      <c r="E14" s="1">
        <v>790</v>
      </c>
    </row>
    <row r="15" spans="1:5" ht="16.5" thickBot="1" x14ac:dyDescent="0.3">
      <c r="A15">
        <v>2018</v>
      </c>
      <c r="B15" s="4" t="s">
        <v>6</v>
      </c>
      <c r="C15" s="1">
        <v>84</v>
      </c>
      <c r="D15" s="2">
        <v>40</v>
      </c>
      <c r="E15" s="1">
        <v>210</v>
      </c>
    </row>
    <row r="16" spans="1:5" ht="16.5" thickBot="1" x14ac:dyDescent="0.3">
      <c r="A16">
        <v>2018</v>
      </c>
      <c r="B16" s="4" t="s">
        <v>7</v>
      </c>
      <c r="C16" s="3">
        <f t="shared" ref="C16:E16" si="0">SUM(C14:C15)</f>
        <v>278</v>
      </c>
      <c r="D16" s="3">
        <f t="shared" si="0"/>
        <v>140</v>
      </c>
      <c r="E16" s="3">
        <f t="shared" si="0"/>
        <v>1000</v>
      </c>
    </row>
    <row r="17" spans="1:5" ht="16.5" thickBot="1" x14ac:dyDescent="0.3">
      <c r="A17">
        <v>2019</v>
      </c>
      <c r="B17" s="8" t="s">
        <v>5</v>
      </c>
      <c r="C17" s="1">
        <v>199</v>
      </c>
      <c r="D17" s="1">
        <v>70.599999999999994</v>
      </c>
      <c r="E17" s="1">
        <v>810</v>
      </c>
    </row>
    <row r="18" spans="1:5" ht="16.5" thickBot="1" x14ac:dyDescent="0.3">
      <c r="A18">
        <v>2019</v>
      </c>
      <c r="B18" s="4" t="s">
        <v>6</v>
      </c>
      <c r="C18" s="1">
        <v>110</v>
      </c>
      <c r="D18" s="2">
        <v>36.5</v>
      </c>
      <c r="E18" s="1">
        <v>250</v>
      </c>
    </row>
    <row r="19" spans="1:5" ht="16.5" thickBot="1" x14ac:dyDescent="0.3">
      <c r="A19">
        <v>2019</v>
      </c>
      <c r="B19" s="4" t="s">
        <v>7</v>
      </c>
      <c r="C19" s="3">
        <f t="shared" ref="C19:E19" si="1">SUM(C17:C18)</f>
        <v>309</v>
      </c>
      <c r="D19" s="3">
        <f t="shared" si="1"/>
        <v>107.1</v>
      </c>
      <c r="E19" s="3">
        <f t="shared" si="1"/>
        <v>1060</v>
      </c>
    </row>
    <row r="20" spans="1:5" ht="16.5" thickBot="1" x14ac:dyDescent="0.3">
      <c r="A20">
        <v>2020</v>
      </c>
      <c r="B20" s="8" t="s">
        <v>5</v>
      </c>
      <c r="C20" s="1">
        <v>202</v>
      </c>
      <c r="D20" s="1">
        <v>64.731999999999999</v>
      </c>
      <c r="E20" s="1">
        <v>830</v>
      </c>
    </row>
    <row r="21" spans="1:5" ht="16.5" thickBot="1" x14ac:dyDescent="0.3">
      <c r="A21">
        <v>2020</v>
      </c>
      <c r="B21" s="4" t="s">
        <v>6</v>
      </c>
      <c r="C21" s="1">
        <v>86</v>
      </c>
      <c r="D21" s="2">
        <v>32.268000000000001</v>
      </c>
      <c r="E21" s="1">
        <v>250</v>
      </c>
    </row>
    <row r="22" spans="1:5" ht="16.5" thickBot="1" x14ac:dyDescent="0.3">
      <c r="A22">
        <v>2020</v>
      </c>
      <c r="B22" s="4" t="s">
        <v>7</v>
      </c>
      <c r="C22" s="3">
        <f t="shared" ref="C22:E22" si="2">SUM(C20:C21)</f>
        <v>288</v>
      </c>
      <c r="D22" s="3">
        <f t="shared" si="2"/>
        <v>97</v>
      </c>
      <c r="E22" s="3">
        <f t="shared" si="2"/>
        <v>1080</v>
      </c>
    </row>
    <row r="23" spans="1:5" ht="16.5" thickBot="1" x14ac:dyDescent="0.3">
      <c r="A23">
        <v>2021</v>
      </c>
      <c r="B23" s="8" t="s">
        <v>5</v>
      </c>
      <c r="C23" s="1">
        <v>200</v>
      </c>
      <c r="D23" s="1">
        <v>334</v>
      </c>
      <c r="E23" s="1">
        <v>850</v>
      </c>
    </row>
    <row r="24" spans="1:5" ht="16.5" thickBot="1" x14ac:dyDescent="0.3">
      <c r="A24">
        <v>2021</v>
      </c>
      <c r="B24" s="4" t="s">
        <v>6</v>
      </c>
      <c r="C24" s="1">
        <v>80</v>
      </c>
      <c r="D24" s="2">
        <v>52</v>
      </c>
      <c r="E24" s="1">
        <v>220</v>
      </c>
    </row>
    <row r="25" spans="1:5" ht="16.5" thickBot="1" x14ac:dyDescent="0.3">
      <c r="A25">
        <v>2021</v>
      </c>
      <c r="B25" s="4" t="s">
        <v>7</v>
      </c>
      <c r="C25" s="3">
        <f t="shared" ref="C25:E25" si="3">SUM(C23:C24)</f>
        <v>280</v>
      </c>
      <c r="D25" s="3">
        <f t="shared" si="3"/>
        <v>386</v>
      </c>
      <c r="E25" s="3">
        <f t="shared" si="3"/>
        <v>1070</v>
      </c>
    </row>
    <row r="26" spans="1:5" ht="16.5" thickBot="1" x14ac:dyDescent="0.3">
      <c r="A26">
        <v>2022</v>
      </c>
      <c r="B26" s="8" t="s">
        <v>5</v>
      </c>
      <c r="C26" s="1">
        <v>196</v>
      </c>
      <c r="D26" s="1">
        <v>434</v>
      </c>
      <c r="E26" s="1">
        <v>850</v>
      </c>
    </row>
    <row r="27" spans="1:5" ht="16.5" thickBot="1" x14ac:dyDescent="0.3">
      <c r="A27">
        <v>2022</v>
      </c>
      <c r="B27" s="4" t="s">
        <v>6</v>
      </c>
      <c r="C27" s="1">
        <v>78</v>
      </c>
      <c r="D27" s="2">
        <v>61</v>
      </c>
      <c r="E27" s="1">
        <v>220</v>
      </c>
    </row>
    <row r="28" spans="1:5" ht="16.5" thickBot="1" x14ac:dyDescent="0.3">
      <c r="A28">
        <v>2022</v>
      </c>
      <c r="B28" s="4" t="s">
        <v>7</v>
      </c>
      <c r="C28" s="3">
        <f t="shared" ref="C28:E28" si="4">SUM(C26:C27)</f>
        <v>274</v>
      </c>
      <c r="D28" s="3">
        <f t="shared" si="4"/>
        <v>495</v>
      </c>
      <c r="E28" s="3">
        <f t="shared" si="4"/>
        <v>1070</v>
      </c>
    </row>
    <row r="29" spans="1:5" ht="16.5" thickBot="1" x14ac:dyDescent="0.3">
      <c r="A29">
        <v>2023</v>
      </c>
      <c r="B29" s="8" t="s">
        <v>5</v>
      </c>
      <c r="C29" s="1">
        <v>200</v>
      </c>
      <c r="D29" s="1">
        <v>393</v>
      </c>
      <c r="E29" s="1">
        <v>897</v>
      </c>
    </row>
    <row r="30" spans="1:5" ht="16.5" thickBot="1" x14ac:dyDescent="0.3">
      <c r="A30">
        <v>2023</v>
      </c>
      <c r="B30" s="4" t="s">
        <v>6</v>
      </c>
      <c r="C30" s="1">
        <v>78</v>
      </c>
      <c r="D30" s="2">
        <v>52</v>
      </c>
      <c r="E30" s="1">
        <v>230</v>
      </c>
    </row>
    <row r="31" spans="1:5" ht="16.5" thickBot="1" x14ac:dyDescent="0.3">
      <c r="A31">
        <v>2023</v>
      </c>
      <c r="B31" s="4" t="s">
        <v>7</v>
      </c>
      <c r="C31" s="3">
        <f t="shared" ref="C31:D31" si="5">SUM(C29:C30)</f>
        <v>278</v>
      </c>
      <c r="D31" s="3">
        <f t="shared" si="5"/>
        <v>445</v>
      </c>
      <c r="E31" s="3">
        <f>SUM(E29:E30)</f>
        <v>1127</v>
      </c>
    </row>
    <row r="32" spans="1:5" ht="16.5" thickBot="1" x14ac:dyDescent="0.3">
      <c r="A32">
        <v>2024</v>
      </c>
      <c r="B32" s="8" t="s">
        <v>5</v>
      </c>
      <c r="C32" s="4">
        <v>200</v>
      </c>
      <c r="D32" s="4">
        <v>489</v>
      </c>
      <c r="E32" s="9">
        <v>850</v>
      </c>
    </row>
    <row r="33" spans="1:5" ht="16.5" thickBot="1" x14ac:dyDescent="0.3">
      <c r="A33">
        <v>2024</v>
      </c>
      <c r="B33" s="4" t="s">
        <v>6</v>
      </c>
      <c r="C33" s="4">
        <v>80</v>
      </c>
      <c r="D33" s="7">
        <v>42</v>
      </c>
      <c r="E33" s="9">
        <v>220</v>
      </c>
    </row>
    <row r="34" spans="1:5" ht="16.5" thickBot="1" x14ac:dyDescent="0.3">
      <c r="A34">
        <v>2024</v>
      </c>
      <c r="B34" s="4" t="s">
        <v>7</v>
      </c>
      <c r="C34" s="5">
        <f t="shared" ref="C34:D34" si="6">SUM(C32:C33)</f>
        <v>280</v>
      </c>
      <c r="D34" s="5">
        <f t="shared" si="6"/>
        <v>531</v>
      </c>
      <c r="E34" s="5">
        <f>SUM(E32:E33)</f>
        <v>1070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2025-07-31T11:16:57Z</dcterms:modified>
</cp:coreProperties>
</file>