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I13" i="1"/>
  <c r="I7" i="1"/>
  <c r="I14" i="1" s="1"/>
  <c r="H26" i="1"/>
  <c r="H25" i="1"/>
  <c r="H24" i="1"/>
  <c r="H27" i="1" s="1"/>
  <c r="H13" i="1"/>
  <c r="H14" i="1" s="1"/>
  <c r="G26" i="1"/>
  <c r="G27" i="1" s="1"/>
  <c r="G14" i="1"/>
  <c r="F27" i="1"/>
  <c r="F26" i="1"/>
  <c r="F25" i="1"/>
  <c r="F24" i="1"/>
  <c r="F14" i="1"/>
  <c r="E27" i="1"/>
  <c r="E14" i="1"/>
  <c r="D26" i="1"/>
  <c r="D24" i="1"/>
  <c r="D27" i="1" s="1"/>
  <c r="C27" i="1"/>
  <c r="C14" i="1"/>
</calcChain>
</file>

<file path=xl/sharedStrings.xml><?xml version="1.0" encoding="utf-8"?>
<sst xmlns="http://schemas.openxmlformats.org/spreadsheetml/2006/main" count="35" uniqueCount="22">
  <si>
    <t>Annee</t>
  </si>
  <si>
    <t>delegation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</si>
  <si>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</si>
  <si>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</si>
  <si>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</si>
  <si>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</si>
  <si>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</si>
  <si>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</si>
  <si>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</si>
  <si>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</si>
  <si>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</si>
  <si>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</si>
  <si>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</si>
  <si>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</si>
  <si>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</si>
  <si>
    <t>Maraichage_T</t>
  </si>
  <si>
    <t>Cultures_Industrielles_T</t>
  </si>
  <si>
    <t>Arboriculture_T</t>
  </si>
  <si>
    <t>Cerealiculture_T</t>
  </si>
  <si>
    <t>Legumineuses_T</t>
  </si>
  <si>
    <t>Fourrages_T</t>
  </si>
  <si>
    <t>Olives_T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</si>
</sst>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" fontId="1" fillId="0" borderId="5" xfId="0" applyNumberFormat="1" applyFont="1" applyBorder="1" applyAlignment="1">
      <alignment horizontal="left" vertical="center"/>
    </xf>
    <xf numFmtId="1" fontId="1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K5" sqref="K5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ht="15.75" x14ac:dyDescent="0.25">
      <c r="A2">
        <v>2023</v>
      </c>
      <c r="B2" t="s">
        <v>2</v>
      </c>
      <c r="C2" s="1"/>
      <c r="D2" s="6"/>
      <c r="E2" s="6"/>
      <c r="F2" s="12"/>
      <c r="G2" s="17"/>
      <c r="H2" s="17"/>
      <c r="I2" s="17"/>
    </row>
    <row r="3" spans="1:9" ht="15.75" x14ac:dyDescent="0.25">
      <c r="A3">
        <v>2023</v>
      </c>
      <c r="B3" t="s">
        <v>3</v>
      </c>
      <c r="C3" s="2"/>
      <c r="D3" s="7"/>
      <c r="E3" s="7"/>
      <c r="F3" s="13"/>
      <c r="G3" s="18"/>
      <c r="H3" s="18"/>
      <c r="I3" s="18"/>
    </row>
    <row r="4" spans="1:9" ht="15.75" x14ac:dyDescent="0.25">
      <c r="A4">
        <v>2023</v>
      </c>
      <c r="B4" t="s">
        <v>4</v>
      </c>
      <c r="C4" s="3"/>
      <c r="D4" s="8"/>
      <c r="E4" s="8"/>
      <c r="F4" s="13"/>
      <c r="G4" s="18"/>
      <c r="H4" s="18"/>
      <c r="I4" s="18"/>
    </row>
    <row r="5" spans="1:9" ht="15.75" x14ac:dyDescent="0.25">
      <c r="A5">
        <v>2023</v>
      </c>
      <c r="B5" t="s">
        <v>5</v>
      </c>
      <c r="C5" s="3"/>
      <c r="D5" s="8"/>
      <c r="E5" s="8"/>
      <c r="F5" s="13"/>
      <c r="G5" s="18"/>
      <c r="H5" s="18"/>
      <c r="I5" s="18"/>
    </row>
    <row r="6" spans="1:9" ht="15.75" x14ac:dyDescent="0.25">
      <c r="A6">
        <v>2023</v>
      </c>
      <c r="B6" t="s">
        <v>6</v>
      </c>
      <c r="C6" s="2"/>
      <c r="D6" s="7"/>
      <c r="E6" s="7"/>
      <c r="F6" s="13"/>
      <c r="G6" s="18"/>
      <c r="H6" s="18"/>
      <c r="I6" s="18"/>
    </row>
    <row r="7" spans="1:9" ht="15.75" x14ac:dyDescent="0.25">
      <c r="A7">
        <v>2023</v>
      </c>
      <c r="B7" t="s">
        <v>7</v>
      </c>
      <c r="C7" s="2">
        <v>1890</v>
      </c>
      <c r="D7" s="7"/>
      <c r="E7" s="7">
        <v>2700</v>
      </c>
      <c r="F7" s="13"/>
      <c r="G7" s="18"/>
      <c r="H7" s="18"/>
      <c r="I7" s="8">
        <f>120+32</f>
        <v>152</v>
      </c>
    </row>
    <row r="8" spans="1:9" ht="15.75" x14ac:dyDescent="0.25">
      <c r="A8">
        <v>2023</v>
      </c>
      <c r="B8" t="s">
        <v>8</v>
      </c>
      <c r="C8" s="2"/>
      <c r="D8" s="7"/>
      <c r="E8" s="7"/>
      <c r="F8" s="13"/>
      <c r="G8" s="18"/>
      <c r="H8" s="18"/>
      <c r="I8" s="8"/>
    </row>
    <row r="9" spans="1:9" ht="15.75" x14ac:dyDescent="0.25">
      <c r="A9">
        <v>2023</v>
      </c>
      <c r="B9" t="s">
        <v>9</v>
      </c>
      <c r="C9" s="2"/>
      <c r="D9" s="7"/>
      <c r="E9" s="7"/>
      <c r="F9" s="13"/>
      <c r="G9" s="18"/>
      <c r="H9" s="18"/>
      <c r="I9" s="8"/>
    </row>
    <row r="10" spans="1:9" ht="15.75" x14ac:dyDescent="0.25">
      <c r="A10">
        <v>2023</v>
      </c>
      <c r="B10" t="s">
        <v>10</v>
      </c>
      <c r="C10" s="2"/>
      <c r="D10" s="7"/>
      <c r="E10" s="7"/>
      <c r="F10" s="13"/>
      <c r="G10" s="18"/>
      <c r="H10" s="18"/>
      <c r="I10" s="8"/>
    </row>
    <row r="11" spans="1:9" ht="15.75" x14ac:dyDescent="0.25">
      <c r="A11">
        <v>2023</v>
      </c>
      <c r="B11" t="s">
        <v>11</v>
      </c>
      <c r="C11" s="2">
        <v>820</v>
      </c>
      <c r="D11" s="7">
        <v>0</v>
      </c>
      <c r="E11" s="7">
        <v>3800</v>
      </c>
      <c r="F11" s="14">
        <v>0</v>
      </c>
      <c r="G11" s="14">
        <v>0</v>
      </c>
      <c r="H11" s="14">
        <v>67.5</v>
      </c>
      <c r="I11" s="7">
        <v>373</v>
      </c>
    </row>
    <row r="12" spans="1:9" ht="15.75" x14ac:dyDescent="0.25">
      <c r="A12">
        <v>2023</v>
      </c>
      <c r="B12" t="s">
        <v>12</v>
      </c>
      <c r="C12" s="2">
        <v>2990</v>
      </c>
      <c r="D12" s="7"/>
      <c r="E12" s="7">
        <v>5000</v>
      </c>
      <c r="F12" s="14">
        <v>0</v>
      </c>
      <c r="G12" s="14"/>
      <c r="H12" s="14"/>
      <c r="I12" s="7">
        <v>565</v>
      </c>
    </row>
    <row r="13" spans="1:9" ht="15.75" x14ac:dyDescent="0.25">
      <c r="A13">
        <v>2023</v>
      </c>
      <c r="B13" t="s">
        <v>13</v>
      </c>
      <c r="C13" s="4">
        <v>3947</v>
      </c>
      <c r="D13" s="9"/>
      <c r="E13" s="9">
        <v>90379</v>
      </c>
      <c r="F13" s="15">
        <v>7.6</v>
      </c>
      <c r="G13" s="15">
        <v>0</v>
      </c>
      <c r="H13" s="15">
        <f>140+1525</f>
        <v>1665</v>
      </c>
      <c r="I13" s="9">
        <f>7500+610</f>
        <v>8110</v>
      </c>
    </row>
    <row r="14" spans="1:9" ht="15.75" x14ac:dyDescent="0.25">
      <c r="A14">
        <v>2023</v>
      </c>
      <c r="B14" t="s">
        <v>14</v>
      </c>
      <c r="C14" s="5">
        <f t="shared" ref="C14" si="0">SUM(C2:C13)</f>
        <v>9647</v>
      </c>
      <c r="D14" s="10">
        <v>0</v>
      </c>
      <c r="E14" s="11">
        <f t="shared" ref="E14" si="1">SUM(E2:E13)</f>
        <v>101879</v>
      </c>
      <c r="F14" s="16">
        <f>SUM(F2:F13)</f>
        <v>7.6</v>
      </c>
      <c r="G14" s="16">
        <f>SUM(G2:G13)</f>
        <v>0</v>
      </c>
      <c r="H14" s="16">
        <f t="shared" ref="H14" si="2">SUM(H2:H13)</f>
        <v>1732.5</v>
      </c>
      <c r="I14" s="5">
        <f t="shared" ref="I14" si="3">SUM(I7:I13)</f>
        <v>9200</v>
      </c>
    </row>
    <row r="15" spans="1:9" ht="15.75" x14ac:dyDescent="0.25">
      <c r="A15">
        <v>2024</v>
      </c>
      <c r="B15" t="s">
        <v>2</v>
      </c>
      <c r="C15" s="6"/>
      <c r="D15" s="6"/>
      <c r="E15" s="6"/>
      <c r="F15" s="17"/>
      <c r="G15" s="17"/>
      <c r="H15" s="17"/>
      <c r="I15" s="17"/>
    </row>
    <row r="16" spans="1:9" ht="15.75" x14ac:dyDescent="0.25">
      <c r="A16">
        <v>2024</v>
      </c>
      <c r="B16" t="s">
        <v>3</v>
      </c>
      <c r="C16" s="7"/>
      <c r="D16" s="7"/>
      <c r="E16" s="7"/>
      <c r="F16" s="18"/>
      <c r="G16" s="18"/>
      <c r="H16" s="18"/>
      <c r="I16" s="18"/>
    </row>
    <row r="17" spans="1:9" ht="15.75" x14ac:dyDescent="0.25">
      <c r="A17">
        <v>2024</v>
      </c>
      <c r="B17" t="s">
        <v>4</v>
      </c>
      <c r="C17" s="8"/>
      <c r="D17" s="8"/>
      <c r="E17" s="8"/>
      <c r="F17" s="18"/>
      <c r="G17" s="18"/>
      <c r="H17" s="18"/>
      <c r="I17" s="18"/>
    </row>
    <row r="18" spans="1:9" ht="15.75" x14ac:dyDescent="0.25">
      <c r="A18">
        <v>2024</v>
      </c>
      <c r="B18" t="s">
        <v>5</v>
      </c>
      <c r="C18" s="8"/>
      <c r="D18" s="8"/>
      <c r="E18" s="8"/>
      <c r="F18" s="18"/>
      <c r="G18" s="18"/>
      <c r="H18" s="18"/>
      <c r="I18" s="18"/>
    </row>
    <row r="19" spans="1:9" ht="15.75" x14ac:dyDescent="0.25">
      <c r="A19">
        <v>2024</v>
      </c>
      <c r="B19" t="s">
        <v>6</v>
      </c>
      <c r="C19" s="7"/>
      <c r="D19" s="7"/>
      <c r="E19" s="7"/>
      <c r="F19" s="18">
        <v>77</v>
      </c>
      <c r="G19" s="18"/>
      <c r="H19" s="18"/>
      <c r="I19" s="18"/>
    </row>
    <row r="20" spans="1:9" ht="15.75" x14ac:dyDescent="0.25">
      <c r="A20">
        <v>2024</v>
      </c>
      <c r="B20" t="s">
        <v>7</v>
      </c>
      <c r="C20" s="7">
        <v>1700</v>
      </c>
      <c r="D20" s="7"/>
      <c r="E20" s="7">
        <v>2800</v>
      </c>
      <c r="F20" s="18"/>
      <c r="G20" s="18"/>
      <c r="H20" s="18"/>
      <c r="I20" s="8">
        <v>144</v>
      </c>
    </row>
    <row r="21" spans="1:9" ht="15.75" x14ac:dyDescent="0.25">
      <c r="A21">
        <v>2024</v>
      </c>
      <c r="B21" t="s">
        <v>8</v>
      </c>
      <c r="C21" s="7"/>
      <c r="D21" s="7"/>
      <c r="E21" s="7"/>
      <c r="F21" s="18"/>
      <c r="G21" s="18"/>
      <c r="H21" s="18"/>
      <c r="I21" s="8"/>
    </row>
    <row r="22" spans="1:9" ht="15.75" x14ac:dyDescent="0.25">
      <c r="A22">
        <v>2024</v>
      </c>
      <c r="B22" t="s">
        <v>9</v>
      </c>
      <c r="C22" s="7"/>
      <c r="D22" s="7"/>
      <c r="E22" s="7"/>
      <c r="F22" s="18"/>
      <c r="G22" s="18"/>
      <c r="H22" s="18"/>
      <c r="I22" s="8"/>
    </row>
    <row r="23" spans="1:9" ht="15.75" x14ac:dyDescent="0.25">
      <c r="A23">
        <v>2024</v>
      </c>
      <c r="B23" t="s">
        <v>10</v>
      </c>
      <c r="C23" s="7"/>
      <c r="D23" s="7"/>
      <c r="E23" s="7"/>
      <c r="F23" s="18"/>
      <c r="G23" s="18"/>
      <c r="H23" s="18"/>
      <c r="I23" s="8"/>
    </row>
    <row r="24" spans="1:9" ht="15.75" x14ac:dyDescent="0.25">
      <c r="A24">
        <v>2024</v>
      </c>
      <c r="B24" t="s">
        <v>11</v>
      </c>
      <c r="C24" s="7">
        <v>450</v>
      </c>
      <c r="D24" s="7">
        <f>1*160</f>
        <v>160</v>
      </c>
      <c r="E24" s="7">
        <v>4800</v>
      </c>
      <c r="F24" s="14">
        <f>(77217+1270)/10</f>
        <v>7848.7</v>
      </c>
      <c r="G24" s="14">
        <v>220</v>
      </c>
      <c r="H24" s="14">
        <f>(2400*4.5)+(150*30.86)</f>
        <v>15429</v>
      </c>
      <c r="I24" s="7">
        <v>681</v>
      </c>
    </row>
    <row r="25" spans="1:9" ht="15.75" x14ac:dyDescent="0.25">
      <c r="A25">
        <v>2024</v>
      </c>
      <c r="B25" t="s">
        <v>12</v>
      </c>
      <c r="C25" s="7">
        <v>2999</v>
      </c>
      <c r="D25" s="7"/>
      <c r="E25" s="7">
        <v>6000</v>
      </c>
      <c r="F25" s="14">
        <f>(10490)/10</f>
        <v>1049</v>
      </c>
      <c r="G25" s="14">
        <v>26</v>
      </c>
      <c r="H25" s="14">
        <f>1000*4.5</f>
        <v>4500</v>
      </c>
      <c r="I25" s="7">
        <v>725</v>
      </c>
    </row>
    <row r="26" spans="1:9" ht="15.75" x14ac:dyDescent="0.25">
      <c r="A26">
        <v>2024</v>
      </c>
      <c r="B26" t="s">
        <v>13</v>
      </c>
      <c r="C26" s="9">
        <v>7308</v>
      </c>
      <c r="D26" s="9">
        <f>50*1</f>
        <v>50</v>
      </c>
      <c r="E26" s="9">
        <v>115234</v>
      </c>
      <c r="F26" s="15">
        <f>(35651.5)/10</f>
        <v>3565.15</v>
      </c>
      <c r="G26" s="15">
        <f>25+12</f>
        <v>37</v>
      </c>
      <c r="H26" s="15">
        <f>(1122*4.5)+(47*30.9)-1.3+625</f>
        <v>7125</v>
      </c>
      <c r="I26" s="9">
        <v>8250</v>
      </c>
    </row>
    <row r="27" spans="1:9" ht="15.75" x14ac:dyDescent="0.25">
      <c r="A27">
        <v>2024</v>
      </c>
      <c r="B27" t="s">
        <v>14</v>
      </c>
      <c r="C27" s="5">
        <f t="shared" ref="C27" si="4">SUM(C15:C26)</f>
        <v>12457</v>
      </c>
      <c r="D27" s="11">
        <f>D24+D26</f>
        <v>210</v>
      </c>
      <c r="E27" s="11">
        <f t="shared" ref="E27" si="5">SUM(E15:E26)</f>
        <v>128834</v>
      </c>
      <c r="F27" s="16">
        <f>F24+F25+F26+F19</f>
        <v>12539.85</v>
      </c>
      <c r="G27" s="16">
        <f>G24+G25+G26</f>
        <v>283</v>
      </c>
      <c r="H27" s="16">
        <f t="shared" ref="H27" si="6">SUM(H15:H26)</f>
        <v>27054</v>
      </c>
      <c r="I27" s="5">
        <f t="shared" ref="I27" si="7">SUM(I20:I26)</f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2025-10-14T15:34:14Z</dcterms:modified>
</cp:coreProperties>
</file>