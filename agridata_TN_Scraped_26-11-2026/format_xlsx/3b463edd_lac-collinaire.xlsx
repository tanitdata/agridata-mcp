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1" l="1"/>
  <c r="D81" i="1"/>
  <c r="D71" i="1"/>
  <c r="D63" i="1"/>
  <c r="C23" i="1"/>
  <c r="D20" i="1"/>
  <c r="C20" i="1"/>
  <c r="D95" i="1" l="1"/>
</calcChain>
</file>

<file path=xl/sharedStrings.xml><?xml version="1.0" encoding="utf-8"?>
<sst xmlns="http://schemas.openxmlformats.org/spreadsheetml/2006/main" count="206" uniqueCount="100">
  <si>
    <t>بنزرت الشمالية</t>
  </si>
  <si>
    <t>عين الباردة</t>
  </si>
  <si>
    <t>مجموع المعتمدية</t>
  </si>
  <si>
    <t>بنزرت الجنوبية</t>
  </si>
  <si>
    <t>واد القرع</t>
  </si>
  <si>
    <t>واد الشطيب- ب6</t>
  </si>
  <si>
    <t>واد النية</t>
  </si>
  <si>
    <t>مترسبة</t>
  </si>
  <si>
    <t>S100%</t>
  </si>
  <si>
    <t>واد المرّة</t>
  </si>
  <si>
    <t>واد المرازيق</t>
  </si>
  <si>
    <t>واد المعو</t>
  </si>
  <si>
    <t>عين السّردوك</t>
  </si>
  <si>
    <t>واد الصفصاف</t>
  </si>
  <si>
    <t>واد الكريمة</t>
  </si>
  <si>
    <t>واد الميو</t>
  </si>
  <si>
    <t>واد حصحاصية</t>
  </si>
  <si>
    <t>بني وذيل</t>
  </si>
  <si>
    <t>المشرع</t>
  </si>
  <si>
    <t xml:space="preserve">تغذية </t>
  </si>
  <si>
    <t>كاف الذيبة</t>
  </si>
  <si>
    <t>الحميمين</t>
  </si>
  <si>
    <t>وادي دار الرمل</t>
  </si>
  <si>
    <t xml:space="preserve">منزل بورقيبة </t>
  </si>
  <si>
    <t>واد طليبة</t>
  </si>
  <si>
    <t>S 100%</t>
  </si>
  <si>
    <t>الشاقي</t>
  </si>
  <si>
    <t>رأس الجبل</t>
  </si>
  <si>
    <t>العالية</t>
  </si>
  <si>
    <t>الطرفة- ب1</t>
  </si>
  <si>
    <t>واد ديكارة</t>
  </si>
  <si>
    <t>واد الذهيلة</t>
  </si>
  <si>
    <t>جومين</t>
  </si>
  <si>
    <t>عين الغدر</t>
  </si>
  <si>
    <t>الزيتونة</t>
  </si>
  <si>
    <t>واد الداموس</t>
  </si>
  <si>
    <t>واد السوايدية</t>
  </si>
  <si>
    <t>المغرة</t>
  </si>
  <si>
    <t>الطيحان</t>
  </si>
  <si>
    <t>عين البيضة</t>
  </si>
  <si>
    <t>سبعة عوينات</t>
  </si>
  <si>
    <t>سجنان</t>
  </si>
  <si>
    <t>الصخيرة</t>
  </si>
  <si>
    <t>طواجنية</t>
  </si>
  <si>
    <t>حكارة</t>
  </si>
  <si>
    <t>بوفرينينة</t>
  </si>
  <si>
    <t>سوقمان 2</t>
  </si>
  <si>
    <t>فيض الخزين</t>
  </si>
  <si>
    <t>أم جنيب</t>
  </si>
  <si>
    <t>سوقمان 1</t>
  </si>
  <si>
    <t xml:space="preserve"> بني يصلي</t>
  </si>
  <si>
    <t>السميرة</t>
  </si>
  <si>
    <t>كناينيةب4</t>
  </si>
  <si>
    <t>الحدادة- ب5</t>
  </si>
  <si>
    <t>الحنية- ب3</t>
  </si>
  <si>
    <t>عيشون</t>
  </si>
  <si>
    <t>بيض الغول</t>
  </si>
  <si>
    <t>المخيش</t>
  </si>
  <si>
    <t>الهميل</t>
  </si>
  <si>
    <t>الشقيفة(الشلايبية)</t>
  </si>
  <si>
    <t>سيدي  الزين</t>
  </si>
  <si>
    <t>أم الطبل</t>
  </si>
  <si>
    <t>واد الزان</t>
  </si>
  <si>
    <t>الزبوز</t>
  </si>
  <si>
    <t>غزالة</t>
  </si>
  <si>
    <t>واد العومان 2</t>
  </si>
  <si>
    <t>واد الشرشارة</t>
  </si>
  <si>
    <t>واد الزيتون</t>
  </si>
  <si>
    <t>مشارقة</t>
  </si>
  <si>
    <t>المراديم</t>
  </si>
  <si>
    <t>سيدي بن بدر</t>
  </si>
  <si>
    <t>فرع بن نصر</t>
  </si>
  <si>
    <t>ماطر</t>
  </si>
  <si>
    <t>واد العومان 1</t>
  </si>
  <si>
    <t>مسفطين</t>
  </si>
  <si>
    <t>واد الكوشة</t>
  </si>
  <si>
    <t>واد بصارية</t>
  </si>
  <si>
    <t>واد الأحمر</t>
  </si>
  <si>
    <t>النشمة</t>
  </si>
  <si>
    <t>المعيزة</t>
  </si>
  <si>
    <t>المطوية</t>
  </si>
  <si>
    <t>الخروبة</t>
  </si>
  <si>
    <t>أوتيك</t>
  </si>
  <si>
    <t>واد عين الصفصاف</t>
  </si>
  <si>
    <t>واد الكوم</t>
  </si>
  <si>
    <t>زعرورة</t>
  </si>
  <si>
    <t>واد السمار</t>
  </si>
  <si>
    <t>شعبة جورج</t>
  </si>
  <si>
    <t>زويتينة البي</t>
  </si>
  <si>
    <t>كاف الغارق</t>
  </si>
  <si>
    <t>قورقيبة</t>
  </si>
  <si>
    <t>دويميس</t>
  </si>
  <si>
    <t>الحنايا السفلى</t>
  </si>
  <si>
    <t>الفرتوت</t>
  </si>
  <si>
    <t>الرمان</t>
  </si>
  <si>
    <t>مجموع الولاية</t>
  </si>
  <si>
    <t>Délégation</t>
  </si>
  <si>
    <t>Nom du lac collinaire</t>
  </si>
  <si>
    <t>Capacité de stockage (mille m3)</t>
  </si>
  <si>
    <t>Stock actuel (mille 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</si>
</sst>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  <charset val="178"/>
    </font>
    <font>
      <sz val="11"/>
      <name val="Simplified Arabic"/>
      <family val="1"/>
    </font>
    <font>
      <b/>
      <sz val="11"/>
      <name val="Arial"/>
      <family val="2"/>
      <charset val="178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justify"/>
    </xf>
    <xf numFmtId="1" fontId="4" fillId="0" borderId="3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1" fontId="6" fillId="0" borderId="2" xfId="0" applyNumberFormat="1" applyFont="1" applyFill="1" applyBorder="1" applyAlignment="1">
      <alignment horizontal="right" vertical="center" indent="1"/>
    </xf>
    <xf numFmtId="1" fontId="4" fillId="0" borderId="3" xfId="0" applyNumberFormat="1" applyFont="1" applyFill="1" applyBorder="1" applyAlignment="1">
      <alignment horizontal="right" vertical="center" indent="1"/>
    </xf>
    <xf numFmtId="0" fontId="7" fillId="0" borderId="5" xfId="0" applyFont="1" applyBorder="1" applyAlignment="1">
      <alignment horizontal="right" vertical="center"/>
    </xf>
    <xf numFmtId="1" fontId="7" fillId="0" borderId="3" xfId="0" applyNumberFormat="1" applyFont="1" applyFill="1" applyBorder="1" applyAlignment="1">
      <alignment horizontal="right" vertical="center" indent="1"/>
    </xf>
    <xf numFmtId="1" fontId="4" fillId="0" borderId="3" xfId="0" applyNumberFormat="1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right" vertical="center"/>
    </xf>
    <xf numFmtId="1" fontId="8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1" fontId="4" fillId="0" borderId="6" xfId="0" applyNumberFormat="1" applyFont="1" applyFill="1" applyBorder="1" applyAlignment="1">
      <alignment horizontal="center" vertical="center"/>
    </xf>
    <xf numFmtId="0" fontId="5" fillId="0" borderId="4" xfId="0" quotePrefix="1" applyFont="1" applyBorder="1" applyAlignment="1">
      <alignment horizontal="right" vertical="center"/>
    </xf>
    <xf numFmtId="1" fontId="8" fillId="0" borderId="4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5" fillId="2" borderId="4" xfId="0" quotePrefix="1" applyFont="1" applyFill="1" applyBorder="1" applyAlignment="1">
      <alignment horizontal="right" vertical="center"/>
    </xf>
    <xf numFmtId="1" fontId="8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1" fontId="8" fillId="0" borderId="8" xfId="0" applyNumberFormat="1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1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right" vertical="center" indent="1"/>
    </xf>
    <xf numFmtId="1" fontId="10" fillId="0" borderId="1" xfId="0" applyNumberFormat="1" applyFont="1" applyFill="1" applyBorder="1" applyAlignment="1">
      <alignment horizontal="right" vertical="center" indent="1"/>
    </xf>
    <xf numFmtId="1" fontId="4" fillId="3" borderId="7" xfId="0" applyNumberFormat="1" applyFont="1" applyFill="1" applyBorder="1" applyAlignment="1">
      <alignment horizontal="right" vertical="center" indent="1"/>
    </xf>
    <xf numFmtId="1" fontId="10" fillId="3" borderId="7" xfId="0" applyNumberFormat="1" applyFont="1" applyFill="1" applyBorder="1" applyAlignment="1">
      <alignment horizontal="right" vertical="center" indent="1"/>
    </xf>
    <xf numFmtId="1" fontId="11" fillId="0" borderId="7" xfId="0" applyNumberFormat="1" applyFont="1" applyFill="1" applyBorder="1" applyAlignment="1">
      <alignment horizontal="right" vertical="center" indent="1"/>
    </xf>
    <xf numFmtId="1" fontId="11" fillId="0" borderId="1" xfId="0" applyNumberFormat="1" applyFont="1" applyFill="1" applyBorder="1" applyAlignment="1">
      <alignment horizontal="right" vertical="center" indent="1"/>
    </xf>
    <xf numFmtId="1" fontId="6" fillId="0" borderId="7" xfId="0" applyNumberFormat="1" applyFont="1" applyFill="1" applyBorder="1" applyAlignment="1">
      <alignment horizontal="right" vertical="center" indent="1"/>
    </xf>
    <xf numFmtId="1" fontId="11" fillId="0" borderId="6" xfId="0" applyNumberFormat="1" applyFont="1" applyFill="1" applyBorder="1" applyAlignment="1">
      <alignment horizontal="right" vertical="center" indent="1"/>
    </xf>
    <xf numFmtId="1" fontId="6" fillId="0" borderId="6" xfId="0" applyNumberFormat="1" applyFont="1" applyFill="1" applyBorder="1" applyAlignment="1">
      <alignment horizontal="right" vertical="center" indent="1"/>
    </xf>
    <xf numFmtId="1" fontId="11" fillId="0" borderId="2" xfId="0" applyNumberFormat="1" applyFont="1" applyFill="1" applyBorder="1" applyAlignment="1">
      <alignment horizontal="right" vertical="center" indent="1"/>
    </xf>
    <xf numFmtId="1" fontId="6" fillId="0" borderId="4" xfId="0" applyNumberFormat="1" applyFont="1" applyFill="1" applyBorder="1" applyAlignment="1">
      <alignment horizontal="right" vertical="center" indent="1"/>
    </xf>
    <xf numFmtId="1" fontId="11" fillId="0" borderId="4" xfId="0" applyNumberFormat="1" applyFont="1" applyFill="1" applyBorder="1" applyAlignment="1">
      <alignment horizontal="right" vertical="center" indent="1"/>
    </xf>
    <xf numFmtId="0" fontId="3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tabSelected="1" topLeftCell="A10" workbookViewId="0">
      <selection activeCell="K27" sqref="K27"/>
    </sheetView>
  </sheetViews>
  <sheetFormatPr baseColWidth="10" defaultColWidth="9.140625" defaultRowHeight="15"/>
  <cols>
    <col min="1" max="1" width="23.140625" customWidth="1"/>
    <col min="2" max="2" width="24.7109375" customWidth="1"/>
    <col min="3" max="3" width="25.28515625" customWidth="1"/>
    <col min="4" max="4" width="21.28515625" customWidth="1"/>
  </cols>
  <sheetData>
    <row r="1" spans="1:4" ht="41.25" customHeight="1">
      <c r="A1" s="1" t="s">
        <v>96</v>
      </c>
      <c r="B1" s="1" t="s">
        <v>97</v>
      </c>
      <c r="C1" s="2" t="s">
        <v>98</v>
      </c>
      <c r="D1" s="2" t="s">
        <v>99</v>
      </c>
    </row>
    <row r="2" spans="1:4" ht="15.75">
      <c r="A2" s="3" t="s">
        <v>0</v>
      </c>
      <c r="B2" s="4" t="s">
        <v>1</v>
      </c>
      <c r="C2" s="5">
        <v>100</v>
      </c>
      <c r="D2" s="6">
        <v>20</v>
      </c>
    </row>
    <row r="3" spans="1:4" ht="15.75">
      <c r="A3" s="3" t="s">
        <v>2</v>
      </c>
      <c r="B3" s="7"/>
      <c r="C3" s="8">
        <v>100</v>
      </c>
      <c r="D3" s="9">
        <v>20</v>
      </c>
    </row>
    <row r="4" spans="1:4" ht="15" customHeight="1">
      <c r="A4" s="10" t="s">
        <v>3</v>
      </c>
      <c r="B4" s="11" t="s">
        <v>4</v>
      </c>
      <c r="C4" s="12">
        <v>104</v>
      </c>
      <c r="D4" s="13">
        <v>15</v>
      </c>
    </row>
    <row r="5" spans="1:4" ht="15" customHeight="1">
      <c r="A5" s="10" t="s">
        <v>3</v>
      </c>
      <c r="B5" s="15" t="s">
        <v>5</v>
      </c>
      <c r="C5" s="16">
        <v>104</v>
      </c>
      <c r="D5" s="17">
        <v>20</v>
      </c>
    </row>
    <row r="6" spans="1:4" ht="15" customHeight="1">
      <c r="A6" s="10" t="s">
        <v>3</v>
      </c>
      <c r="B6" s="18" t="s">
        <v>6</v>
      </c>
      <c r="C6" s="19" t="s">
        <v>7</v>
      </c>
      <c r="D6" s="20" t="s">
        <v>8</v>
      </c>
    </row>
    <row r="7" spans="1:4" ht="15" customHeight="1">
      <c r="A7" s="10" t="s">
        <v>3</v>
      </c>
      <c r="B7" s="15" t="s">
        <v>9</v>
      </c>
      <c r="C7" s="16">
        <v>22</v>
      </c>
      <c r="D7" s="17">
        <v>0</v>
      </c>
    </row>
    <row r="8" spans="1:4" ht="15" customHeight="1">
      <c r="A8" s="10" t="s">
        <v>3</v>
      </c>
      <c r="B8" s="15" t="s">
        <v>10</v>
      </c>
      <c r="C8" s="16">
        <v>48</v>
      </c>
      <c r="D8" s="17">
        <v>10</v>
      </c>
    </row>
    <row r="9" spans="1:4" ht="15" customHeight="1">
      <c r="A9" s="10" t="s">
        <v>3</v>
      </c>
      <c r="B9" s="15" t="s">
        <v>11</v>
      </c>
      <c r="C9" s="21">
        <v>90</v>
      </c>
      <c r="D9" s="17">
        <v>18</v>
      </c>
    </row>
    <row r="10" spans="1:4" ht="15" customHeight="1">
      <c r="A10" s="10" t="s">
        <v>3</v>
      </c>
      <c r="B10" s="4" t="s">
        <v>12</v>
      </c>
      <c r="C10" s="21">
        <v>60</v>
      </c>
      <c r="D10" s="17">
        <v>0</v>
      </c>
    </row>
    <row r="11" spans="1:4" ht="15" customHeight="1">
      <c r="A11" s="10" t="s">
        <v>3</v>
      </c>
      <c r="B11" s="15" t="s">
        <v>13</v>
      </c>
      <c r="C11" s="16">
        <v>60</v>
      </c>
      <c r="D11" s="17">
        <v>2</v>
      </c>
    </row>
    <row r="12" spans="1:4" ht="15" customHeight="1">
      <c r="A12" s="10" t="s">
        <v>3</v>
      </c>
      <c r="B12" s="18" t="s">
        <v>14</v>
      </c>
      <c r="C12" s="19" t="s">
        <v>7</v>
      </c>
      <c r="D12" s="20">
        <v>0</v>
      </c>
    </row>
    <row r="13" spans="1:4" ht="15" customHeight="1">
      <c r="A13" s="10" t="s">
        <v>3</v>
      </c>
      <c r="B13" s="15" t="s">
        <v>15</v>
      </c>
      <c r="C13" s="16">
        <v>60</v>
      </c>
      <c r="D13" s="17">
        <v>15</v>
      </c>
    </row>
    <row r="14" spans="1:4" ht="15" customHeight="1">
      <c r="A14" s="10" t="s">
        <v>3</v>
      </c>
      <c r="B14" s="4" t="s">
        <v>16</v>
      </c>
      <c r="C14" s="16">
        <v>120</v>
      </c>
      <c r="D14" s="17">
        <v>30</v>
      </c>
    </row>
    <row r="15" spans="1:4" ht="15" customHeight="1">
      <c r="A15" s="10" t="s">
        <v>3</v>
      </c>
      <c r="B15" s="15" t="s">
        <v>17</v>
      </c>
      <c r="C15" s="16">
        <v>110</v>
      </c>
      <c r="D15" s="17">
        <v>10</v>
      </c>
    </row>
    <row r="16" spans="1:4" ht="15" customHeight="1">
      <c r="A16" s="10" t="s">
        <v>3</v>
      </c>
      <c r="B16" s="15" t="s">
        <v>18</v>
      </c>
      <c r="C16" s="16">
        <v>0</v>
      </c>
      <c r="D16" s="17" t="s">
        <v>19</v>
      </c>
    </row>
    <row r="17" spans="1:4" ht="15" customHeight="1">
      <c r="A17" s="10" t="s">
        <v>3</v>
      </c>
      <c r="B17" s="15" t="s">
        <v>20</v>
      </c>
      <c r="C17" s="16">
        <v>36</v>
      </c>
      <c r="D17" s="17">
        <v>0</v>
      </c>
    </row>
    <row r="18" spans="1:4" ht="15" customHeight="1">
      <c r="A18" s="10" t="s">
        <v>3</v>
      </c>
      <c r="B18" s="15" t="s">
        <v>21</v>
      </c>
      <c r="C18" s="16">
        <v>270</v>
      </c>
      <c r="D18" s="17">
        <v>140</v>
      </c>
    </row>
    <row r="19" spans="1:4" ht="15" customHeight="1">
      <c r="A19" s="10" t="s">
        <v>3</v>
      </c>
      <c r="B19" s="22" t="s">
        <v>22</v>
      </c>
      <c r="C19" s="23">
        <v>140</v>
      </c>
      <c r="D19" s="24">
        <v>65</v>
      </c>
    </row>
    <row r="20" spans="1:4" ht="15.75">
      <c r="A20" s="25" t="s">
        <v>2</v>
      </c>
      <c r="B20" s="26"/>
      <c r="C20" s="27">
        <f>SUM(C4:C19)</f>
        <v>1224</v>
      </c>
      <c r="D20" s="27">
        <f>SUM(D4:D19)</f>
        <v>325</v>
      </c>
    </row>
    <row r="21" spans="1:4" ht="15" customHeight="1">
      <c r="A21" s="14" t="s">
        <v>23</v>
      </c>
      <c r="B21" s="18" t="s">
        <v>24</v>
      </c>
      <c r="C21" s="19" t="s">
        <v>7</v>
      </c>
      <c r="D21" s="20" t="s">
        <v>25</v>
      </c>
    </row>
    <row r="22" spans="1:4" ht="15" customHeight="1">
      <c r="A22" s="14" t="s">
        <v>23</v>
      </c>
      <c r="B22" s="18" t="s">
        <v>26</v>
      </c>
      <c r="C22" s="19">
        <v>14</v>
      </c>
      <c r="D22" s="20">
        <v>5</v>
      </c>
    </row>
    <row r="23" spans="1:4" ht="15.75">
      <c r="A23" s="25" t="s">
        <v>2</v>
      </c>
      <c r="B23" s="26"/>
      <c r="C23" s="27">
        <f>C22</f>
        <v>14</v>
      </c>
      <c r="D23" s="27">
        <v>5</v>
      </c>
    </row>
    <row r="24" spans="1:4" ht="15.75">
      <c r="A24" s="10" t="s">
        <v>27</v>
      </c>
      <c r="B24" s="28"/>
      <c r="C24" s="29"/>
      <c r="D24" s="29"/>
    </row>
    <row r="25" spans="1:4" ht="15.75">
      <c r="A25" s="10" t="s">
        <v>27</v>
      </c>
      <c r="B25" s="28"/>
      <c r="C25" s="29"/>
      <c r="D25" s="29"/>
    </row>
    <row r="26" spans="1:4" ht="15.75">
      <c r="A26" s="10" t="s">
        <v>27</v>
      </c>
      <c r="B26" s="28"/>
      <c r="C26" s="29"/>
      <c r="D26" s="29"/>
    </row>
    <row r="27" spans="1:4" ht="15.75">
      <c r="A27" s="25" t="s">
        <v>2</v>
      </c>
      <c r="B27" s="26"/>
      <c r="C27" s="27"/>
      <c r="D27" s="27"/>
    </row>
    <row r="28" spans="1:4" ht="15" customHeight="1">
      <c r="A28" s="10" t="s">
        <v>28</v>
      </c>
      <c r="B28" s="30" t="s">
        <v>29</v>
      </c>
      <c r="C28" s="19" t="s">
        <v>7</v>
      </c>
      <c r="D28" s="19" t="s">
        <v>8</v>
      </c>
    </row>
    <row r="29" spans="1:4" ht="15" customHeight="1">
      <c r="A29" s="10" t="s">
        <v>28</v>
      </c>
      <c r="B29" s="30" t="s">
        <v>30</v>
      </c>
      <c r="C29" s="19">
        <v>70</v>
      </c>
      <c r="D29" s="19">
        <v>0</v>
      </c>
    </row>
    <row r="30" spans="1:4" ht="15" customHeight="1">
      <c r="A30" s="10" t="s">
        <v>28</v>
      </c>
      <c r="B30" s="30" t="s">
        <v>31</v>
      </c>
      <c r="C30" s="19">
        <v>70</v>
      </c>
      <c r="D30" s="19">
        <v>0</v>
      </c>
    </row>
    <row r="31" spans="1:4" ht="15.75">
      <c r="A31" s="25" t="s">
        <v>2</v>
      </c>
      <c r="B31" s="31"/>
      <c r="C31" s="27">
        <v>140</v>
      </c>
      <c r="D31" s="27">
        <v>0</v>
      </c>
    </row>
    <row r="32" spans="1:4" ht="15" customHeight="1">
      <c r="A32" s="14" t="s">
        <v>32</v>
      </c>
      <c r="B32" s="30" t="s">
        <v>33</v>
      </c>
      <c r="C32" s="32">
        <v>35</v>
      </c>
      <c r="D32" s="32">
        <v>15</v>
      </c>
    </row>
    <row r="33" spans="1:4" ht="15" customHeight="1">
      <c r="A33" s="14" t="s">
        <v>32</v>
      </c>
      <c r="B33" s="30" t="s">
        <v>34</v>
      </c>
      <c r="C33" s="32">
        <v>60</v>
      </c>
      <c r="D33" s="32">
        <v>20</v>
      </c>
    </row>
    <row r="34" spans="1:4" ht="15" customHeight="1">
      <c r="A34" s="14" t="s">
        <v>32</v>
      </c>
      <c r="B34" s="30" t="s">
        <v>35</v>
      </c>
      <c r="C34" s="32">
        <v>110</v>
      </c>
      <c r="D34" s="32">
        <v>25</v>
      </c>
    </row>
    <row r="35" spans="1:4" ht="15" customHeight="1">
      <c r="A35" s="14" t="s">
        <v>32</v>
      </c>
      <c r="B35" s="30" t="s">
        <v>36</v>
      </c>
      <c r="C35" s="32">
        <v>105</v>
      </c>
      <c r="D35" s="32">
        <v>50</v>
      </c>
    </row>
    <row r="36" spans="1:4" ht="15" customHeight="1">
      <c r="A36" s="14" t="s">
        <v>32</v>
      </c>
      <c r="B36" s="30" t="s">
        <v>37</v>
      </c>
      <c r="C36" s="32">
        <v>50</v>
      </c>
      <c r="D36" s="32">
        <v>25</v>
      </c>
    </row>
    <row r="37" spans="1:4" ht="15" customHeight="1">
      <c r="A37" s="14" t="s">
        <v>32</v>
      </c>
      <c r="B37" s="30" t="s">
        <v>38</v>
      </c>
      <c r="C37" s="32">
        <v>75</v>
      </c>
      <c r="D37" s="32">
        <v>5</v>
      </c>
    </row>
    <row r="38" spans="1:4" ht="15" customHeight="1">
      <c r="A38" s="14" t="s">
        <v>32</v>
      </c>
      <c r="B38" s="30" t="s">
        <v>39</v>
      </c>
      <c r="C38" s="32">
        <v>185</v>
      </c>
      <c r="D38" s="32">
        <v>80</v>
      </c>
    </row>
    <row r="39" spans="1:4" ht="15" customHeight="1">
      <c r="A39" s="14" t="s">
        <v>32</v>
      </c>
      <c r="B39" s="30" t="s">
        <v>40</v>
      </c>
      <c r="C39" s="32">
        <v>110</v>
      </c>
      <c r="D39" s="32">
        <v>75</v>
      </c>
    </row>
    <row r="40" spans="1:4" ht="15.75">
      <c r="A40" s="25" t="s">
        <v>2</v>
      </c>
      <c r="B40" s="26"/>
      <c r="C40" s="27">
        <v>730</v>
      </c>
      <c r="D40" s="27">
        <v>295</v>
      </c>
    </row>
    <row r="41" spans="1:4" ht="15" customHeight="1">
      <c r="A41" s="10" t="s">
        <v>41</v>
      </c>
      <c r="B41" s="33" t="s">
        <v>42</v>
      </c>
      <c r="C41" s="34">
        <v>56</v>
      </c>
      <c r="D41" s="34">
        <v>20</v>
      </c>
    </row>
    <row r="42" spans="1:4" ht="15" customHeight="1">
      <c r="A42" s="10" t="s">
        <v>41</v>
      </c>
      <c r="B42" s="33" t="s">
        <v>43</v>
      </c>
      <c r="C42" s="34" t="s">
        <v>7</v>
      </c>
      <c r="D42" s="34" t="s">
        <v>8</v>
      </c>
    </row>
    <row r="43" spans="1:4" ht="15" customHeight="1">
      <c r="A43" s="10" t="s">
        <v>41</v>
      </c>
      <c r="B43" s="33" t="s">
        <v>44</v>
      </c>
      <c r="C43" s="34">
        <v>12</v>
      </c>
      <c r="D43" s="34">
        <v>4</v>
      </c>
    </row>
    <row r="44" spans="1:4" ht="15" customHeight="1">
      <c r="A44" s="10" t="s">
        <v>41</v>
      </c>
      <c r="B44" s="33" t="s">
        <v>45</v>
      </c>
      <c r="C44" s="34" t="s">
        <v>7</v>
      </c>
      <c r="D44" s="34" t="s">
        <v>8</v>
      </c>
    </row>
    <row r="45" spans="1:4" ht="15" customHeight="1">
      <c r="A45" s="10" t="s">
        <v>41</v>
      </c>
      <c r="B45" s="30" t="s">
        <v>46</v>
      </c>
      <c r="C45" s="32" t="s">
        <v>7</v>
      </c>
      <c r="D45" s="32" t="s">
        <v>8</v>
      </c>
    </row>
    <row r="46" spans="1:4" ht="15" customHeight="1">
      <c r="A46" s="10" t="s">
        <v>41</v>
      </c>
      <c r="B46" s="30" t="s">
        <v>47</v>
      </c>
      <c r="C46" s="32">
        <v>12</v>
      </c>
      <c r="D46" s="32">
        <v>3</v>
      </c>
    </row>
    <row r="47" spans="1:4" ht="15" customHeight="1">
      <c r="A47" s="10" t="s">
        <v>41</v>
      </c>
      <c r="B47" s="30" t="s">
        <v>48</v>
      </c>
      <c r="C47" s="32">
        <v>15</v>
      </c>
      <c r="D47" s="32">
        <v>4</v>
      </c>
    </row>
    <row r="48" spans="1:4" ht="15" customHeight="1">
      <c r="A48" s="10" t="s">
        <v>41</v>
      </c>
      <c r="B48" s="30" t="s">
        <v>49</v>
      </c>
      <c r="C48" s="32">
        <v>16</v>
      </c>
      <c r="D48" s="32">
        <v>4</v>
      </c>
    </row>
    <row r="49" spans="1:4" ht="15" customHeight="1">
      <c r="A49" s="10" t="s">
        <v>41</v>
      </c>
      <c r="B49" s="30" t="s">
        <v>50</v>
      </c>
      <c r="C49" s="32">
        <v>16</v>
      </c>
      <c r="D49" s="32">
        <v>4</v>
      </c>
    </row>
    <row r="50" spans="1:4" ht="15" customHeight="1">
      <c r="A50" s="10" t="s">
        <v>41</v>
      </c>
      <c r="B50" s="30" t="s">
        <v>51</v>
      </c>
      <c r="C50" s="32">
        <v>32</v>
      </c>
      <c r="D50" s="32">
        <v>6</v>
      </c>
    </row>
    <row r="51" spans="1:4" ht="15" customHeight="1">
      <c r="A51" s="10" t="s">
        <v>41</v>
      </c>
      <c r="B51" s="30" t="s">
        <v>52</v>
      </c>
      <c r="C51" s="32">
        <v>12</v>
      </c>
      <c r="D51" s="32">
        <v>2</v>
      </c>
    </row>
    <row r="52" spans="1:4" ht="15" customHeight="1">
      <c r="A52" s="10" t="s">
        <v>41</v>
      </c>
      <c r="B52" s="30" t="s">
        <v>53</v>
      </c>
      <c r="C52" s="32">
        <v>40</v>
      </c>
      <c r="D52" s="32">
        <v>8</v>
      </c>
    </row>
    <row r="53" spans="1:4" ht="15" customHeight="1">
      <c r="A53" s="10" t="s">
        <v>41</v>
      </c>
      <c r="B53" s="33" t="s">
        <v>54</v>
      </c>
      <c r="C53" s="34">
        <v>12</v>
      </c>
      <c r="D53" s="34">
        <v>6</v>
      </c>
    </row>
    <row r="54" spans="1:4" ht="15" customHeight="1">
      <c r="A54" s="10" t="s">
        <v>41</v>
      </c>
      <c r="B54" s="35" t="s">
        <v>55</v>
      </c>
      <c r="C54" s="6">
        <v>12</v>
      </c>
      <c r="D54" s="6">
        <v>6</v>
      </c>
    </row>
    <row r="55" spans="1:4" ht="15" customHeight="1">
      <c r="A55" s="10" t="s">
        <v>41</v>
      </c>
      <c r="B55" s="30" t="s">
        <v>56</v>
      </c>
      <c r="C55" s="32">
        <v>28</v>
      </c>
      <c r="D55" s="32">
        <v>7</v>
      </c>
    </row>
    <row r="56" spans="1:4" ht="15" customHeight="1">
      <c r="A56" s="10" t="s">
        <v>41</v>
      </c>
      <c r="B56" s="30" t="s">
        <v>57</v>
      </c>
      <c r="C56" s="32">
        <v>12</v>
      </c>
      <c r="D56" s="32">
        <v>3</v>
      </c>
    </row>
    <row r="57" spans="1:4" ht="15" customHeight="1">
      <c r="A57" s="10" t="s">
        <v>41</v>
      </c>
      <c r="B57" s="30" t="s">
        <v>58</v>
      </c>
      <c r="C57" s="32">
        <v>12</v>
      </c>
      <c r="D57" s="32">
        <v>3</v>
      </c>
    </row>
    <row r="58" spans="1:4" ht="15" customHeight="1">
      <c r="A58" s="10" t="s">
        <v>41</v>
      </c>
      <c r="B58" s="30" t="s">
        <v>59</v>
      </c>
      <c r="C58" s="32" t="s">
        <v>7</v>
      </c>
      <c r="D58" s="32">
        <v>0</v>
      </c>
    </row>
    <row r="59" spans="1:4" ht="15" customHeight="1">
      <c r="A59" s="10" t="s">
        <v>41</v>
      </c>
      <c r="B59" s="30" t="s">
        <v>60</v>
      </c>
      <c r="C59" s="32">
        <v>40</v>
      </c>
      <c r="D59" s="32">
        <v>4</v>
      </c>
    </row>
    <row r="60" spans="1:4" ht="15" customHeight="1">
      <c r="A60" s="10" t="s">
        <v>41</v>
      </c>
      <c r="B60" s="30" t="s">
        <v>61</v>
      </c>
      <c r="C60" s="32">
        <v>16</v>
      </c>
      <c r="D60" s="32">
        <v>3</v>
      </c>
    </row>
    <row r="61" spans="1:4" ht="15" customHeight="1">
      <c r="A61" s="10" t="s">
        <v>41</v>
      </c>
      <c r="B61" s="30" t="s">
        <v>62</v>
      </c>
      <c r="C61" s="32">
        <v>28</v>
      </c>
      <c r="D61" s="32">
        <v>5</v>
      </c>
    </row>
    <row r="62" spans="1:4" ht="15" customHeight="1">
      <c r="A62" s="10" t="s">
        <v>41</v>
      </c>
      <c r="B62" s="30" t="s">
        <v>63</v>
      </c>
      <c r="C62" s="32">
        <v>312</v>
      </c>
      <c r="D62" s="32">
        <v>85</v>
      </c>
    </row>
    <row r="63" spans="1:4" ht="15.75">
      <c r="A63" s="25" t="s">
        <v>2</v>
      </c>
      <c r="B63" s="26"/>
      <c r="C63" s="27">
        <v>683</v>
      </c>
      <c r="D63" s="27">
        <f>D41+D43+D46+D47+D48+D49+D50+D51+D52+D53+D54+D55+D56+D57+D58+D59+D60+D61+D62</f>
        <v>177</v>
      </c>
    </row>
    <row r="64" spans="1:4" ht="15" customHeight="1">
      <c r="A64" s="14" t="s">
        <v>64</v>
      </c>
      <c r="B64" s="30" t="s">
        <v>65</v>
      </c>
      <c r="C64" s="32">
        <v>85</v>
      </c>
      <c r="D64" s="32">
        <v>4</v>
      </c>
    </row>
    <row r="65" spans="1:4" ht="15" customHeight="1">
      <c r="A65" s="14" t="s">
        <v>64</v>
      </c>
      <c r="B65" s="30" t="s">
        <v>66</v>
      </c>
      <c r="C65" s="32" t="s">
        <v>7</v>
      </c>
      <c r="D65" s="32">
        <v>0</v>
      </c>
    </row>
    <row r="66" spans="1:4" ht="15" customHeight="1">
      <c r="A66" s="14" t="s">
        <v>64</v>
      </c>
      <c r="B66" s="30" t="s">
        <v>67</v>
      </c>
      <c r="C66" s="32">
        <v>20</v>
      </c>
      <c r="D66" s="32">
        <v>2</v>
      </c>
    </row>
    <row r="67" spans="1:4" ht="15" customHeight="1">
      <c r="A67" s="14" t="s">
        <v>64</v>
      </c>
      <c r="B67" s="30" t="s">
        <v>68</v>
      </c>
      <c r="C67" s="32">
        <v>85</v>
      </c>
      <c r="D67" s="32">
        <v>8</v>
      </c>
    </row>
    <row r="68" spans="1:4" ht="15" customHeight="1">
      <c r="A68" s="14" t="s">
        <v>64</v>
      </c>
      <c r="B68" s="30" t="s">
        <v>69</v>
      </c>
      <c r="C68" s="32">
        <v>146</v>
      </c>
      <c r="D68" s="32">
        <v>40</v>
      </c>
    </row>
    <row r="69" spans="1:4" ht="15" customHeight="1">
      <c r="A69" s="14" t="s">
        <v>64</v>
      </c>
      <c r="B69" s="30" t="s">
        <v>70</v>
      </c>
      <c r="C69" s="32">
        <v>88</v>
      </c>
      <c r="D69" s="32">
        <v>30</v>
      </c>
    </row>
    <row r="70" spans="1:4" ht="15" customHeight="1">
      <c r="A70" s="14" t="s">
        <v>64</v>
      </c>
      <c r="B70" s="30" t="s">
        <v>71</v>
      </c>
      <c r="C70" s="32">
        <v>117</v>
      </c>
      <c r="D70" s="32">
        <v>30</v>
      </c>
    </row>
    <row r="71" spans="1:4" ht="15.75">
      <c r="A71" s="25" t="s">
        <v>2</v>
      </c>
      <c r="B71" s="26"/>
      <c r="C71" s="27">
        <v>541</v>
      </c>
      <c r="D71" s="27">
        <f>SUM(D64:D70)</f>
        <v>114</v>
      </c>
    </row>
    <row r="72" spans="1:4" ht="15" customHeight="1">
      <c r="A72" s="14" t="s">
        <v>72</v>
      </c>
      <c r="B72" s="30" t="s">
        <v>73</v>
      </c>
      <c r="C72" s="36">
        <v>78</v>
      </c>
      <c r="D72" s="36">
        <v>15</v>
      </c>
    </row>
    <row r="73" spans="1:4" ht="15" customHeight="1">
      <c r="A73" s="14" t="s">
        <v>72</v>
      </c>
      <c r="B73" s="30" t="s">
        <v>74</v>
      </c>
      <c r="C73" s="36" t="s">
        <v>7</v>
      </c>
      <c r="D73" s="36" t="s">
        <v>8</v>
      </c>
    </row>
    <row r="74" spans="1:4" ht="15" customHeight="1">
      <c r="A74" s="14" t="s">
        <v>72</v>
      </c>
      <c r="B74" s="30" t="s">
        <v>75</v>
      </c>
      <c r="C74" s="36" t="s">
        <v>7</v>
      </c>
      <c r="D74" s="36" t="s">
        <v>8</v>
      </c>
    </row>
    <row r="75" spans="1:4" ht="15" customHeight="1">
      <c r="A75" s="14" t="s">
        <v>72</v>
      </c>
      <c r="B75" s="30" t="s">
        <v>76</v>
      </c>
      <c r="C75" s="36" t="s">
        <v>7</v>
      </c>
      <c r="D75" s="36" t="s">
        <v>25</v>
      </c>
    </row>
    <row r="76" spans="1:4" ht="15" customHeight="1">
      <c r="A76" s="14" t="s">
        <v>72</v>
      </c>
      <c r="B76" s="30" t="s">
        <v>77</v>
      </c>
      <c r="C76" s="36">
        <v>112</v>
      </c>
      <c r="D76" s="36">
        <v>15</v>
      </c>
    </row>
    <row r="77" spans="1:4" ht="15" customHeight="1">
      <c r="A77" s="14" t="s">
        <v>72</v>
      </c>
      <c r="B77" s="30" t="s">
        <v>78</v>
      </c>
      <c r="C77" s="36">
        <v>55</v>
      </c>
      <c r="D77" s="36">
        <v>20</v>
      </c>
    </row>
    <row r="78" spans="1:4" ht="15" customHeight="1">
      <c r="A78" s="14" t="s">
        <v>72</v>
      </c>
      <c r="B78" s="30" t="s">
        <v>79</v>
      </c>
      <c r="C78" s="36">
        <v>96</v>
      </c>
      <c r="D78" s="36">
        <v>35</v>
      </c>
    </row>
    <row r="79" spans="1:4" ht="15" customHeight="1">
      <c r="A79" s="14" t="s">
        <v>72</v>
      </c>
      <c r="B79" s="30" t="s">
        <v>80</v>
      </c>
      <c r="C79" s="36">
        <v>0</v>
      </c>
      <c r="D79" s="36" t="s">
        <v>19</v>
      </c>
    </row>
    <row r="80" spans="1:4" ht="15" customHeight="1">
      <c r="A80" s="14" t="s">
        <v>72</v>
      </c>
      <c r="B80" s="30" t="s">
        <v>81</v>
      </c>
      <c r="C80" s="36">
        <v>96</v>
      </c>
      <c r="D80" s="36">
        <v>75</v>
      </c>
    </row>
    <row r="81" spans="1:4" ht="15.75">
      <c r="A81" s="25" t="s">
        <v>2</v>
      </c>
      <c r="B81" s="26"/>
      <c r="C81" s="27">
        <v>437</v>
      </c>
      <c r="D81" s="27">
        <f>D72+D76+D77+D78+D80</f>
        <v>160</v>
      </c>
    </row>
    <row r="82" spans="1:4" ht="15" customHeight="1">
      <c r="A82" s="14" t="s">
        <v>82</v>
      </c>
      <c r="B82" s="37" t="s">
        <v>83</v>
      </c>
      <c r="C82" s="36">
        <v>35</v>
      </c>
      <c r="D82" s="36">
        <v>0</v>
      </c>
    </row>
    <row r="83" spans="1:4" ht="15" customHeight="1">
      <c r="A83" s="14" t="s">
        <v>82</v>
      </c>
      <c r="B83" s="37" t="s">
        <v>84</v>
      </c>
      <c r="C83" s="36">
        <v>48</v>
      </c>
      <c r="D83" s="36">
        <v>0</v>
      </c>
    </row>
    <row r="84" spans="1:4" ht="15" customHeight="1">
      <c r="A84" s="14" t="s">
        <v>82</v>
      </c>
      <c r="B84" s="37" t="s">
        <v>85</v>
      </c>
      <c r="C84" s="36" t="s">
        <v>7</v>
      </c>
      <c r="D84" s="36" t="s">
        <v>8</v>
      </c>
    </row>
    <row r="85" spans="1:4" ht="15" customHeight="1">
      <c r="A85" s="14" t="s">
        <v>82</v>
      </c>
      <c r="B85" s="37" t="s">
        <v>86</v>
      </c>
      <c r="C85" s="36">
        <v>60</v>
      </c>
      <c r="D85" s="36">
        <v>3</v>
      </c>
    </row>
    <row r="86" spans="1:4" ht="15" customHeight="1">
      <c r="A86" s="14" t="s">
        <v>82</v>
      </c>
      <c r="B86" s="37" t="s">
        <v>87</v>
      </c>
      <c r="C86" s="36">
        <v>45</v>
      </c>
      <c r="D86" s="36">
        <v>0</v>
      </c>
    </row>
    <row r="87" spans="1:4" ht="15" customHeight="1">
      <c r="A87" s="14" t="s">
        <v>82</v>
      </c>
      <c r="B87" s="37" t="s">
        <v>88</v>
      </c>
      <c r="C87" s="36">
        <v>36</v>
      </c>
      <c r="D87" s="36">
        <v>3</v>
      </c>
    </row>
    <row r="88" spans="1:4" ht="15" customHeight="1">
      <c r="A88" s="14" t="s">
        <v>82</v>
      </c>
      <c r="B88" s="37" t="s">
        <v>89</v>
      </c>
      <c r="C88" s="36">
        <v>120</v>
      </c>
      <c r="D88" s="36">
        <v>18</v>
      </c>
    </row>
    <row r="89" spans="1:4" ht="15" customHeight="1">
      <c r="A89" s="14" t="s">
        <v>82</v>
      </c>
      <c r="B89" s="37" t="s">
        <v>90</v>
      </c>
      <c r="C89" s="36">
        <v>25</v>
      </c>
      <c r="D89" s="36">
        <v>5</v>
      </c>
    </row>
    <row r="90" spans="1:4" ht="15" customHeight="1">
      <c r="A90" s="14" t="s">
        <v>82</v>
      </c>
      <c r="B90" s="37" t="s">
        <v>91</v>
      </c>
      <c r="C90" s="36">
        <v>0</v>
      </c>
      <c r="D90" s="36" t="s">
        <v>19</v>
      </c>
    </row>
    <row r="91" spans="1:4" ht="15" customHeight="1">
      <c r="A91" s="14" t="s">
        <v>82</v>
      </c>
      <c r="B91" s="37" t="s">
        <v>92</v>
      </c>
      <c r="C91" s="36" t="s">
        <v>7</v>
      </c>
      <c r="D91" s="36" t="s">
        <v>25</v>
      </c>
    </row>
    <row r="92" spans="1:4" ht="15" customHeight="1">
      <c r="A92" s="14" t="s">
        <v>82</v>
      </c>
      <c r="B92" s="37" t="s">
        <v>93</v>
      </c>
      <c r="C92" s="36">
        <v>15</v>
      </c>
      <c r="D92" s="36">
        <v>0</v>
      </c>
    </row>
    <row r="93" spans="1:4" ht="15" customHeight="1">
      <c r="A93" s="14" t="s">
        <v>82</v>
      </c>
      <c r="B93" s="37" t="s">
        <v>94</v>
      </c>
      <c r="C93" s="36">
        <v>400</v>
      </c>
      <c r="D93" s="36">
        <v>15</v>
      </c>
    </row>
    <row r="94" spans="1:4" ht="15.75">
      <c r="A94" s="25" t="s">
        <v>2</v>
      </c>
      <c r="B94" s="26"/>
      <c r="C94" s="27">
        <v>784</v>
      </c>
      <c r="D94" s="27">
        <f>D82+D83+D85+D86+D87+D88+D89+D92+D93</f>
        <v>44</v>
      </c>
    </row>
    <row r="95" spans="1:4" ht="18.75">
      <c r="A95" s="38" t="s">
        <v>95</v>
      </c>
      <c r="B95" s="38"/>
      <c r="C95" s="39">
        <v>4653</v>
      </c>
      <c r="D95" s="40">
        <f>D94+D81+D71+D63+D40+D31+D23+D20+D3</f>
        <v>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2025-05-23T14:47:29Z</dcterms:modified>
</cp:coreProperties>
</file>