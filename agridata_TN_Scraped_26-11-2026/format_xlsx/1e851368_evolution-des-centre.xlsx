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Zaghouan\2025\"/>
    </mc:Choice>
  </mc:AlternateContent>
  <bookViews>
    <workbookView xWindow="0" yWindow="0" windowWidth="28800" windowHeight="12210" tabRatio="925"/>
  </bookViews>
  <sheets>
    <sheet name="Agric21" sheetId="445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Agric21!$C$1:$F$9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F22" i="445" l="1"/>
  <c r="E22" i="445"/>
  <c r="F15" i="445"/>
  <c r="E15" i="445"/>
  <c r="F8" i="445" l="1"/>
</calcChain>
</file>

<file path=xl/sharedStrings.xml><?xml version="1.0" encoding="utf-8"?>
<sst xmlns="http://schemas.openxmlformats.org/spreadsheetml/2006/main" count="48" uniqueCount="20">
  <si>
    <t>المجمـوع</t>
  </si>
  <si>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</si>
  <si>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</si>
  <si>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</si>
  <si>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</si>
  <si>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</si>
  <si>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</si>
  <si>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</si>
  <si>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Délégation</t>
  </si>
  <si>
    <t>Centres de collecte</t>
  </si>
  <si>
    <t>capacité de refroidissement (Litre /jour)</t>
  </si>
  <si>
    <t>Quantité collectée (1000L)</t>
  </si>
  <si>
    <t>Zaghouan</t>
  </si>
  <si>
    <t>Zriba</t>
  </si>
  <si>
    <t>Bir Mchergua</t>
  </si>
  <si>
    <t>Fahs</t>
  </si>
  <si>
    <t>Nadhour</t>
  </si>
  <si>
    <t>Saouaf</t>
  </si>
  <si>
    <t>Total</t>
  </si>
  <si>
    <t>Délégation_arabe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</si>
</sst>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792">
    <xf numFmtId="0" fontId="0" fillId="0" borderId="0"/>
    <xf numFmtId="44" fontId="25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30" fillId="0" borderId="0" applyFont="0" applyFill="0" applyBorder="0" applyAlignment="0" applyProtection="0"/>
    <xf numFmtId="0" fontId="25" fillId="0" borderId="0"/>
    <xf numFmtId="0" fontId="11" fillId="0" borderId="0"/>
    <xf numFmtId="0" fontId="25" fillId="0" borderId="0"/>
    <xf numFmtId="0" fontId="25" fillId="0" borderId="0"/>
    <xf numFmtId="0" fontId="10" fillId="0" borderId="0"/>
    <xf numFmtId="0" fontId="9" fillId="0" borderId="0"/>
    <xf numFmtId="0" fontId="8" fillId="0" borderId="0"/>
    <xf numFmtId="0" fontId="2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30" fillId="0" borderId="0"/>
  </cellStyleXfs>
  <cellXfs count="39">
    <xf numFmtId="0" fontId="0" fillId="0" borderId="0" xfId="0"/>
    <xf numFmtId="0" fontId="20" fillId="0" borderId="0" xfId="782" applyFill="1"/>
    <xf numFmtId="0" fontId="20" fillId="0" borderId="0" xfId="782"/>
    <xf numFmtId="0" fontId="20" fillId="0" borderId="0" xfId="782" applyBorder="1"/>
    <xf numFmtId="0" fontId="15" fillId="2" borderId="0" xfId="782" applyFont="1" applyFill="1"/>
    <xf numFmtId="0" fontId="24" fillId="2" borderId="0" xfId="114" applyFont="1" applyFill="1" applyBorder="1" applyAlignment="1">
      <alignment horizontal="center" vertical="center"/>
    </xf>
    <xf numFmtId="0" fontId="24" fillId="2" borderId="0" xfId="113" applyNumberFormat="1" applyFont="1" applyFill="1" applyBorder="1" applyAlignment="1">
      <alignment horizontal="center" vertical="center"/>
    </xf>
    <xf numFmtId="1" fontId="23" fillId="0" borderId="0" xfId="782" applyNumberFormat="1" applyFont="1" applyFill="1" applyBorder="1" applyAlignment="1">
      <alignment horizontal="center" vertical="center"/>
    </xf>
    <xf numFmtId="0" fontId="31" fillId="0" borderId="1" xfId="782" applyFont="1" applyFill="1" applyBorder="1" applyAlignment="1">
      <alignment horizontal="right" vertical="center" indent="1"/>
    </xf>
    <xf numFmtId="0" fontId="31" fillId="0" borderId="1" xfId="782" applyFont="1" applyFill="1" applyBorder="1" applyAlignment="1">
      <alignment horizontal="center" vertical="center"/>
    </xf>
    <xf numFmtId="0" fontId="31" fillId="0" borderId="1" xfId="83" applyNumberFormat="1" applyFont="1" applyFill="1" applyBorder="1" applyAlignment="1">
      <alignment horizontal="right" vertical="center" indent="1"/>
    </xf>
    <xf numFmtId="0" fontId="32" fillId="0" borderId="1" xfId="782" applyNumberFormat="1" applyFont="1" applyFill="1" applyBorder="1" applyAlignment="1">
      <alignment horizontal="center" vertical="center"/>
    </xf>
    <xf numFmtId="1" fontId="32" fillId="2" borderId="1" xfId="782" applyNumberFormat="1" applyFont="1" applyFill="1" applyBorder="1" applyAlignment="1">
      <alignment horizontal="center" vertical="center"/>
    </xf>
    <xf numFmtId="0" fontId="32" fillId="0" borderId="1" xfId="110" applyFont="1" applyFill="1" applyBorder="1" applyAlignment="1">
      <alignment horizontal="center" vertical="center"/>
    </xf>
    <xf numFmtId="1" fontId="33" fillId="0" borderId="1" xfId="782" applyNumberFormat="1" applyFont="1" applyBorder="1" applyAlignment="1">
      <alignment horizontal="center" vertical="center"/>
    </xf>
    <xf numFmtId="1" fontId="32" fillId="0" borderId="1" xfId="782" applyNumberFormat="1" applyFont="1" applyFill="1" applyBorder="1" applyAlignment="1">
      <alignment horizontal="center" vertical="center"/>
    </xf>
    <xf numFmtId="3" fontId="32" fillId="0" borderId="1" xfId="113" applyNumberFormat="1" applyFont="1" applyFill="1" applyBorder="1" applyAlignment="1">
      <alignment horizontal="center" vertical="center"/>
    </xf>
    <xf numFmtId="0" fontId="32" fillId="0" borderId="1" xfId="113" applyNumberFormat="1" applyFont="1" applyFill="1" applyBorder="1" applyAlignment="1">
      <alignment horizontal="center" vertical="center"/>
    </xf>
    <xf numFmtId="0" fontId="32" fillId="0" borderId="1" xfId="114" applyFont="1" applyFill="1" applyBorder="1" applyAlignment="1">
      <alignment horizontal="center" vertical="center"/>
    </xf>
    <xf numFmtId="0" fontId="31" fillId="0" borderId="2" xfId="782" applyFont="1" applyFill="1" applyBorder="1" applyAlignment="1">
      <alignment horizontal="left" vertical="center" indent="1"/>
    </xf>
    <xf numFmtId="0" fontId="31" fillId="0" borderId="2" xfId="782" applyFont="1" applyFill="1" applyBorder="1" applyAlignment="1">
      <alignment horizontal="right" vertical="center" indent="1"/>
    </xf>
    <xf numFmtId="3" fontId="31" fillId="0" borderId="2" xfId="0" applyNumberFormat="1" applyFont="1" applyFill="1" applyBorder="1" applyAlignment="1">
      <alignment horizontal="center" vertical="center"/>
    </xf>
    <xf numFmtId="0" fontId="31" fillId="0" borderId="3" xfId="83" applyNumberFormat="1" applyFont="1" applyFill="1" applyBorder="1" applyAlignment="1">
      <alignment horizontal="right" vertical="center" indent="1"/>
    </xf>
    <xf numFmtId="0" fontId="32" fillId="0" borderId="3" xfId="782" applyNumberFormat="1" applyFont="1" applyFill="1" applyBorder="1" applyAlignment="1">
      <alignment horizontal="center" vertical="center"/>
    </xf>
    <xf numFmtId="1" fontId="32" fillId="2" borderId="3" xfId="782" applyNumberFormat="1" applyFont="1" applyFill="1" applyBorder="1" applyAlignment="1">
      <alignment horizontal="center" vertical="center"/>
    </xf>
    <xf numFmtId="0" fontId="32" fillId="2" borderId="3" xfId="113" applyNumberFormat="1" applyFont="1" applyFill="1" applyBorder="1" applyAlignment="1">
      <alignment horizontal="center" vertical="center"/>
    </xf>
    <xf numFmtId="0" fontId="32" fillId="2" borderId="1" xfId="114" applyFont="1" applyFill="1" applyBorder="1" applyAlignment="1">
      <alignment horizontal="center" vertical="center"/>
    </xf>
    <xf numFmtId="1" fontId="32" fillId="0" borderId="1" xfId="113" applyNumberFormat="1" applyFont="1" applyFill="1" applyBorder="1" applyAlignment="1">
      <alignment horizontal="center" vertical="center"/>
    </xf>
    <xf numFmtId="1" fontId="32" fillId="0" borderId="1" xfId="114" applyNumberFormat="1" applyFont="1" applyFill="1" applyBorder="1" applyAlignment="1">
      <alignment horizontal="center" vertical="center"/>
    </xf>
    <xf numFmtId="0" fontId="31" fillId="0" borderId="1" xfId="782" applyFont="1" applyFill="1" applyBorder="1" applyAlignment="1">
      <alignment horizontal="left" vertical="center" indent="1"/>
    </xf>
    <xf numFmtId="1" fontId="31" fillId="0" borderId="1" xfId="0" applyNumberFormat="1" applyFont="1" applyFill="1" applyBorder="1" applyAlignment="1">
      <alignment horizontal="center" vertical="center"/>
    </xf>
    <xf numFmtId="0" fontId="33" fillId="0" borderId="1" xfId="782" applyFont="1" applyFill="1" applyBorder="1"/>
    <xf numFmtId="0" fontId="33" fillId="0" borderId="1" xfId="782" applyFont="1" applyBorder="1" applyAlignment="1">
      <alignment horizontal="left"/>
    </xf>
    <xf numFmtId="1" fontId="31" fillId="0" borderId="1" xfId="0" applyNumberFormat="1" applyFont="1" applyBorder="1" applyAlignment="1">
      <alignment horizontal="left" vertical="center" indent="1"/>
    </xf>
    <xf numFmtId="0" fontId="33" fillId="0" borderId="2" xfId="782" applyFont="1" applyBorder="1" applyAlignment="1">
      <alignment horizontal="left"/>
    </xf>
    <xf numFmtId="0" fontId="33" fillId="0" borderId="3" xfId="782" applyFont="1" applyBorder="1" applyAlignment="1">
      <alignment horizontal="left"/>
    </xf>
    <xf numFmtId="1" fontId="31" fillId="0" borderId="3" xfId="0" applyNumberFormat="1" applyFont="1" applyBorder="1" applyAlignment="1">
      <alignment horizontal="left" vertical="center" indent="1"/>
    </xf>
    <xf numFmtId="0" fontId="33" fillId="0" borderId="3" xfId="782" applyFont="1" applyBorder="1"/>
    <xf numFmtId="0" fontId="33" fillId="0" borderId="1" xfId="782" applyFont="1" applyBorder="1"/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!\Desktop\bureau%20ddrn\&#1606;&#1588;&#1585;&#1610;&#1577;2016\Users\ddr%20nabeul\Desktop\Users\hp\Downloads\Users\ddr%20nabeul\Downloads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G27"/>
  <sheetViews>
    <sheetView tabSelected="1" zoomScaleNormal="100" workbookViewId="0">
      <selection activeCell="I7" sqref="I7"/>
    </sheetView>
  </sheetViews>
  <sheetFormatPr baseColWidth="10" defaultColWidth="11.42578125" defaultRowHeight="15" x14ac:dyDescent="0.25"/>
  <cols>
    <col min="1" max="1" width="9" style="2" customWidth="1"/>
    <col min="2" max="2" width="17.7109375" style="2" customWidth="1"/>
    <col min="3" max="3" width="20.140625" style="2" customWidth="1"/>
    <col min="4" max="4" width="20.85546875" style="2" customWidth="1"/>
    <col min="5" max="5" width="40.28515625" style="2" customWidth="1"/>
    <col min="6" max="6" width="28.5703125" style="2" customWidth="1"/>
    <col min="7" max="16384" width="11.42578125" style="2"/>
  </cols>
  <sheetData>
    <row r="1" spans="1:7" s="1" customFormat="1" ht="20.100000000000001" customHeight="1" x14ac:dyDescent="0.25">
      <c r="A1" s="31" t="s">
        <v>7</v>
      </c>
      <c r="B1" s="31" t="s">
        <v>8</v>
      </c>
      <c r="C1" s="8" t="s">
        <v>19</v>
      </c>
      <c r="D1" s="9" t="s">
        <v>9</v>
      </c>
      <c r="E1" s="9" t="s">
        <v>10</v>
      </c>
      <c r="F1" s="9" t="s">
        <v>11</v>
      </c>
    </row>
    <row r="2" spans="1:7" ht="18.75" customHeight="1" x14ac:dyDescent="0.25">
      <c r="A2" s="32">
        <v>2021</v>
      </c>
      <c r="B2" s="33" t="s">
        <v>12</v>
      </c>
      <c r="C2" s="10" t="s">
        <v>6</v>
      </c>
      <c r="D2" s="11"/>
      <c r="E2" s="12"/>
      <c r="F2" s="12"/>
    </row>
    <row r="3" spans="1:7" ht="18.75" customHeight="1" x14ac:dyDescent="0.25">
      <c r="A3" s="32">
        <v>2021</v>
      </c>
      <c r="B3" s="33" t="s">
        <v>13</v>
      </c>
      <c r="C3" s="10" t="s">
        <v>1</v>
      </c>
      <c r="D3" s="13"/>
      <c r="E3" s="14"/>
      <c r="F3" s="14"/>
      <c r="G3" s="4"/>
    </row>
    <row r="4" spans="1:7" ht="18.75" customHeight="1" x14ac:dyDescent="0.25">
      <c r="A4" s="32">
        <v>2021</v>
      </c>
      <c r="B4" s="33" t="s">
        <v>14</v>
      </c>
      <c r="C4" s="10" t="s">
        <v>2</v>
      </c>
      <c r="D4" s="15"/>
      <c r="E4" s="14"/>
      <c r="F4" s="14"/>
    </row>
    <row r="5" spans="1:7" ht="18.75" customHeight="1" x14ac:dyDescent="0.25">
      <c r="A5" s="32">
        <v>2021</v>
      </c>
      <c r="B5" s="33" t="s">
        <v>15</v>
      </c>
      <c r="C5" s="10" t="s">
        <v>3</v>
      </c>
      <c r="D5" s="16">
        <v>1</v>
      </c>
      <c r="E5" s="16">
        <v>18000</v>
      </c>
      <c r="F5" s="16">
        <v>1723.7</v>
      </c>
    </row>
    <row r="6" spans="1:7" ht="18.75" customHeight="1" x14ac:dyDescent="0.25">
      <c r="A6" s="32">
        <v>2021</v>
      </c>
      <c r="B6" s="33" t="s">
        <v>16</v>
      </c>
      <c r="C6" s="10" t="s">
        <v>4</v>
      </c>
      <c r="D6" s="17"/>
      <c r="E6" s="17"/>
      <c r="F6" s="17"/>
    </row>
    <row r="7" spans="1:7" ht="18.75" customHeight="1" x14ac:dyDescent="0.25">
      <c r="A7" s="32">
        <v>2021</v>
      </c>
      <c r="B7" s="33" t="s">
        <v>17</v>
      </c>
      <c r="C7" s="10" t="s">
        <v>5</v>
      </c>
      <c r="D7" s="18"/>
      <c r="E7" s="18"/>
      <c r="F7" s="18"/>
    </row>
    <row r="8" spans="1:7" ht="18.75" customHeight="1" thickBot="1" x14ac:dyDescent="0.3">
      <c r="A8" s="34">
        <v>2021</v>
      </c>
      <c r="B8" s="19" t="s">
        <v>18</v>
      </c>
      <c r="C8" s="20" t="s">
        <v>0</v>
      </c>
      <c r="D8" s="21">
        <v>1</v>
      </c>
      <c r="E8" s="21">
        <v>18000</v>
      </c>
      <c r="F8" s="21">
        <f>F5</f>
        <v>1723.7</v>
      </c>
    </row>
    <row r="9" spans="1:7" ht="18.75" customHeight="1" x14ac:dyDescent="0.25">
      <c r="A9" s="35">
        <v>2022</v>
      </c>
      <c r="B9" s="36" t="s">
        <v>12</v>
      </c>
      <c r="C9" s="22" t="s">
        <v>6</v>
      </c>
      <c r="D9" s="23"/>
      <c r="E9" s="24"/>
      <c r="F9" s="24"/>
    </row>
    <row r="10" spans="1:7" ht="18.75" customHeight="1" x14ac:dyDescent="0.25">
      <c r="A10" s="32">
        <v>2022</v>
      </c>
      <c r="B10" s="33" t="s">
        <v>13</v>
      </c>
      <c r="C10" s="10" t="s">
        <v>1</v>
      </c>
      <c r="D10" s="13"/>
      <c r="E10" s="14"/>
      <c r="F10" s="14"/>
    </row>
    <row r="11" spans="1:7" ht="18.75" customHeight="1" x14ac:dyDescent="0.25">
      <c r="A11" s="32">
        <v>2022</v>
      </c>
      <c r="B11" s="33" t="s">
        <v>14</v>
      </c>
      <c r="C11" s="10" t="s">
        <v>2</v>
      </c>
      <c r="D11" s="15"/>
      <c r="E11" s="14"/>
      <c r="F11" s="14"/>
    </row>
    <row r="12" spans="1:7" ht="18.75" customHeight="1" x14ac:dyDescent="0.25">
      <c r="A12" s="32">
        <v>2022</v>
      </c>
      <c r="B12" s="33" t="s">
        <v>15</v>
      </c>
      <c r="C12" s="10" t="s">
        <v>3</v>
      </c>
      <c r="D12" s="16">
        <v>1</v>
      </c>
      <c r="E12" s="16">
        <v>18000</v>
      </c>
      <c r="F12" s="16">
        <v>2032.4</v>
      </c>
    </row>
    <row r="13" spans="1:7" ht="18.75" customHeight="1" x14ac:dyDescent="0.25">
      <c r="A13" s="32">
        <v>2022</v>
      </c>
      <c r="B13" s="33" t="s">
        <v>16</v>
      </c>
      <c r="C13" s="10" t="s">
        <v>4</v>
      </c>
      <c r="D13" s="17">
        <v>1</v>
      </c>
      <c r="E13" s="17">
        <v>5000</v>
      </c>
      <c r="F13" s="17">
        <v>545.29999999999995</v>
      </c>
    </row>
    <row r="14" spans="1:7" ht="18.75" customHeight="1" x14ac:dyDescent="0.25">
      <c r="A14" s="32">
        <v>2022</v>
      </c>
      <c r="B14" s="33" t="s">
        <v>17</v>
      </c>
      <c r="C14" s="10" t="s">
        <v>5</v>
      </c>
      <c r="D14" s="18"/>
      <c r="E14" s="18"/>
      <c r="F14" s="18"/>
    </row>
    <row r="15" spans="1:7" ht="18.75" customHeight="1" thickBot="1" x14ac:dyDescent="0.3">
      <c r="A15" s="34">
        <v>2022</v>
      </c>
      <c r="B15" s="19" t="s">
        <v>18</v>
      </c>
      <c r="C15" s="20" t="s">
        <v>0</v>
      </c>
      <c r="D15" s="21">
        <v>2</v>
      </c>
      <c r="E15" s="21">
        <f>SUM(E9:E14)</f>
        <v>23000</v>
      </c>
      <c r="F15" s="21">
        <f>SUM(F9:F14)</f>
        <v>2577.6999999999998</v>
      </c>
    </row>
    <row r="16" spans="1:7" ht="15.75" x14ac:dyDescent="0.25">
      <c r="A16" s="35">
        <v>2023</v>
      </c>
      <c r="B16" s="36" t="s">
        <v>12</v>
      </c>
      <c r="C16" s="22" t="s">
        <v>6</v>
      </c>
      <c r="D16" s="37"/>
      <c r="E16" s="37"/>
      <c r="F16" s="25"/>
    </row>
    <row r="17" spans="1:6" ht="15.75" x14ac:dyDescent="0.25">
      <c r="A17" s="32">
        <v>2023</v>
      </c>
      <c r="B17" s="33" t="s">
        <v>13</v>
      </c>
      <c r="C17" s="10" t="s">
        <v>1</v>
      </c>
      <c r="D17" s="38"/>
      <c r="E17" s="38"/>
      <c r="F17" s="26"/>
    </row>
    <row r="18" spans="1:6" ht="15.75" x14ac:dyDescent="0.25">
      <c r="A18" s="32">
        <v>2023</v>
      </c>
      <c r="B18" s="33" t="s">
        <v>14</v>
      </c>
      <c r="C18" s="10" t="s">
        <v>2</v>
      </c>
      <c r="D18" s="38"/>
      <c r="E18" s="38"/>
      <c r="F18" s="26"/>
    </row>
    <row r="19" spans="1:6" ht="15.75" x14ac:dyDescent="0.25">
      <c r="A19" s="32">
        <v>2023</v>
      </c>
      <c r="B19" s="33" t="s">
        <v>15</v>
      </c>
      <c r="C19" s="10" t="s">
        <v>3</v>
      </c>
      <c r="D19" s="27">
        <v>1</v>
      </c>
      <c r="E19" s="27">
        <v>18000</v>
      </c>
      <c r="F19" s="27">
        <v>2099.1</v>
      </c>
    </row>
    <row r="20" spans="1:6" ht="15.75" x14ac:dyDescent="0.25">
      <c r="A20" s="32">
        <v>2023</v>
      </c>
      <c r="B20" s="33" t="s">
        <v>16</v>
      </c>
      <c r="C20" s="10" t="s">
        <v>4</v>
      </c>
      <c r="D20" s="27">
        <v>1</v>
      </c>
      <c r="E20" s="27">
        <v>8000</v>
      </c>
      <c r="F20" s="27">
        <v>1791</v>
      </c>
    </row>
    <row r="21" spans="1:6" ht="15.75" x14ac:dyDescent="0.25">
      <c r="A21" s="32">
        <v>2023</v>
      </c>
      <c r="B21" s="33" t="s">
        <v>17</v>
      </c>
      <c r="C21" s="10" t="s">
        <v>5</v>
      </c>
      <c r="D21" s="28"/>
      <c r="E21" s="28"/>
      <c r="F21" s="28"/>
    </row>
    <row r="22" spans="1:6" ht="15.75" x14ac:dyDescent="0.25">
      <c r="A22" s="32">
        <v>2023</v>
      </c>
      <c r="B22" s="29" t="s">
        <v>18</v>
      </c>
      <c r="C22" s="8" t="s">
        <v>0</v>
      </c>
      <c r="D22" s="30">
        <v>2</v>
      </c>
      <c r="E22" s="30">
        <f>SUM(E16:E21)</f>
        <v>26000</v>
      </c>
      <c r="F22" s="30">
        <f>SUM(F16:F21)</f>
        <v>3890.1</v>
      </c>
    </row>
    <row r="23" spans="1:6" x14ac:dyDescent="0.25">
      <c r="E23" s="3"/>
      <c r="F23" s="6"/>
    </row>
    <row r="24" spans="1:6" x14ac:dyDescent="0.25">
      <c r="E24" s="3"/>
      <c r="F24" s="5"/>
    </row>
    <row r="25" spans="1:6" ht="15.75" x14ac:dyDescent="0.25">
      <c r="E25" s="3"/>
      <c r="F25" s="7"/>
    </row>
    <row r="26" spans="1:6" x14ac:dyDescent="0.25">
      <c r="E26" s="3"/>
      <c r="F26" s="3"/>
    </row>
    <row r="27" spans="1:6" x14ac:dyDescent="0.25">
      <c r="E27" s="3"/>
      <c r="F27" s="3"/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6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Agric21</vt:lpstr>
      <vt:lpstr>Agric21!Zone_d_impression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2025-04-23T09:34:59Z</dcterms:modified>
</cp:coreProperties>
</file>