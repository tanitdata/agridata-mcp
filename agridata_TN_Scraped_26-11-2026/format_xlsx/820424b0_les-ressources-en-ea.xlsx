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A:\Travail Noura\Agri DATA\Actualisation Agridata\CRDA\Données\Données traitées\Gafsa\2025\"/>
    </mc:Choice>
  </mc:AlternateContent>
  <xr:revisionPtr revIDLastSave="0" documentId="13_ncr:1_{42EF7807-B713-4CB0-899C-2612483B7E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sources en eau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7" i="1" l="1"/>
  <c r="F7" i="1"/>
  <c r="D7" i="1"/>
  <c r="C7" i="1"/>
  <c r="E6" i="1"/>
  <c r="E5" i="1"/>
  <c r="E4" i="1"/>
  <c r="E3" i="1"/>
  <c r="E2" i="1"/>
  <c r="C8" i="1"/>
  <c r="D8" i="1"/>
  <c r="F8" i="1"/>
  <c r="G8" i="1"/>
  <c r="E7" i="1" l="1"/>
  <c r="E8" i="1"/>
  <c r="G13" i="1" l="1"/>
  <c r="E12" i="1"/>
  <c r="E11" i="1"/>
  <c r="E10" i="1"/>
  <c r="E9" i="1"/>
  <c r="F13" i="1"/>
  <c r="C13" i="1"/>
  <c r="D13" i="1" l="1"/>
  <c r="E13" i="1" s="1"/>
  <c r="G19" i="1" l="1"/>
  <c r="F19" i="1"/>
  <c r="E18" i="1"/>
  <c r="E17" i="1"/>
  <c r="E16" i="1"/>
  <c r="E15" i="1"/>
  <c r="G14" i="1"/>
  <c r="D14" i="1"/>
  <c r="C14" i="1"/>
  <c r="C19" i="1" s="1"/>
  <c r="E14" i="1" l="1"/>
  <c r="D19" i="1"/>
  <c r="E19" i="1" s="1"/>
  <c r="G25" i="1" l="1"/>
  <c r="F25" i="1"/>
  <c r="E24" i="1"/>
  <c r="E23" i="1"/>
  <c r="E22" i="1"/>
  <c r="E21" i="1"/>
  <c r="G20" i="1"/>
  <c r="D20" i="1"/>
  <c r="D25" i="1" s="1"/>
  <c r="C20" i="1"/>
  <c r="C25" i="1" s="1"/>
  <c r="E25" i="1" l="1"/>
  <c r="E20" i="1"/>
</calcChain>
</file>

<file path=xl/sharedStrings.xml><?xml version="1.0" encoding="utf-8"?>
<sst xmlns="http://schemas.openxmlformats.org/spreadsheetml/2006/main" count="33" uniqueCount="14">
  <si>
    <t>المياه الجوفية</t>
  </si>
  <si>
    <t>المائدة السطحية</t>
  </si>
  <si>
    <t>المائدة العميقة</t>
  </si>
  <si>
    <t>819 (+966 عشوائي)</t>
  </si>
  <si>
    <t>مياه السيلان</t>
  </si>
  <si>
    <t>المياه المستعملة</t>
  </si>
  <si>
    <t>المجموع</t>
  </si>
  <si>
    <t>Ressources</t>
  </si>
  <si>
    <t>Ressources disponibles (million m3/an)</t>
  </si>
  <si>
    <t>Ressources exploitées (million m3/an)</t>
  </si>
  <si>
    <t>Taux d'exploitation (%)</t>
  </si>
  <si>
    <t>Nombre de puits</t>
  </si>
  <si>
    <t>Nombre de puits équipés</t>
  </si>
  <si>
    <t>Année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</si>
</sst>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Simplified Arabic"/>
      <family val="1"/>
    </font>
    <font>
      <sz val="12"/>
      <color theme="1"/>
      <name val="Times New Roman"/>
      <family val="1"/>
    </font>
    <font>
      <b/>
      <u/>
      <sz val="12"/>
      <color theme="1"/>
      <name val="Simplified Arabic"/>
      <family val="1"/>
    </font>
    <font>
      <b/>
      <sz val="12"/>
      <color theme="1"/>
      <name val="Simplified Arabic"/>
      <family val="1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9" fontId="2" fillId="3" borderId="1" xfId="1" applyFont="1" applyFill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9" fontId="5" fillId="2" borderId="1" xfId="1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9" fontId="5" fillId="0" borderId="1" xfId="1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9" fontId="2" fillId="0" borderId="1" xfId="1" applyFont="1" applyBorder="1" applyAlignment="1">
      <alignment horizontal="center" vertical="center" wrapText="1"/>
    </xf>
    <xf numFmtId="0" fontId="7" fillId="0" borderId="1" xfId="0" applyFont="1" applyBorder="1"/>
    <xf numFmtId="0" fontId="6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topLeftCell="A7" workbookViewId="0">
      <selection activeCell="J3" sqref="J3"/>
    </sheetView>
  </sheetViews>
  <sheetFormatPr baseColWidth="10" defaultColWidth="9.140625" defaultRowHeight="15" x14ac:dyDescent="0.25"/>
  <cols>
    <col min="2" max="2" width="21" customWidth="1"/>
    <col min="3" max="3" width="36.28515625" customWidth="1"/>
    <col min="4" max="4" width="35.7109375" customWidth="1"/>
    <col min="5" max="5" width="23.5703125" customWidth="1"/>
    <col min="6" max="6" width="18.5703125" customWidth="1"/>
    <col min="7" max="7" width="26" customWidth="1"/>
  </cols>
  <sheetData>
    <row r="1" spans="1:7" ht="39" customHeight="1" x14ac:dyDescent="0.25">
      <c r="A1" s="16" t="s">
        <v>13</v>
      </c>
      <c r="B1" s="10" t="s">
        <v>7</v>
      </c>
      <c r="C1" s="10" t="s">
        <v>8</v>
      </c>
      <c r="D1" s="10" t="s">
        <v>9</v>
      </c>
      <c r="E1" s="10" t="s">
        <v>10</v>
      </c>
      <c r="F1" s="10" t="s">
        <v>11</v>
      </c>
      <c r="G1" s="10" t="s">
        <v>12</v>
      </c>
    </row>
    <row r="2" spans="1:7" ht="26.25" customHeight="1" x14ac:dyDescent="0.25">
      <c r="A2" s="14">
        <v>2020</v>
      </c>
      <c r="B2" s="6" t="s">
        <v>0</v>
      </c>
      <c r="C2" s="15">
        <v>128.39999999999998</v>
      </c>
      <c r="D2" s="15">
        <v>173.47</v>
      </c>
      <c r="E2" s="8">
        <f t="shared" ref="E2:E7" si="0">D2/C2</f>
        <v>1.3510124610591903</v>
      </c>
      <c r="F2" s="15">
        <v>9182</v>
      </c>
      <c r="G2" s="15">
        <v>6945</v>
      </c>
    </row>
    <row r="3" spans="1:7" ht="26.25" customHeight="1" x14ac:dyDescent="0.25">
      <c r="A3" s="14">
        <v>2020</v>
      </c>
      <c r="B3" s="1" t="s">
        <v>1</v>
      </c>
      <c r="C3" s="2">
        <v>33.299999999999997</v>
      </c>
      <c r="D3" s="2">
        <v>52.25</v>
      </c>
      <c r="E3" s="3">
        <f t="shared" si="0"/>
        <v>1.5690690690690692</v>
      </c>
      <c r="F3" s="4">
        <v>8802</v>
      </c>
      <c r="G3" s="4">
        <v>6695</v>
      </c>
    </row>
    <row r="4" spans="1:7" ht="26.25" customHeight="1" x14ac:dyDescent="0.25">
      <c r="A4" s="14">
        <v>2020</v>
      </c>
      <c r="B4" s="1" t="s">
        <v>2</v>
      </c>
      <c r="C4" s="2">
        <v>95.1</v>
      </c>
      <c r="D4" s="2">
        <v>118.405</v>
      </c>
      <c r="E4" s="3">
        <f t="shared" si="0"/>
        <v>1.2450578338590959</v>
      </c>
      <c r="F4" s="4">
        <v>693</v>
      </c>
      <c r="G4" s="4">
        <v>495</v>
      </c>
    </row>
    <row r="5" spans="1:7" ht="26.25" customHeight="1" x14ac:dyDescent="0.25">
      <c r="A5" s="14">
        <v>2020</v>
      </c>
      <c r="B5" s="6" t="s">
        <v>4</v>
      </c>
      <c r="C5" s="7">
        <v>100</v>
      </c>
      <c r="D5" s="7">
        <v>49.6</v>
      </c>
      <c r="E5" s="8">
        <f t="shared" si="0"/>
        <v>0.496</v>
      </c>
      <c r="F5" s="9"/>
      <c r="G5" s="9"/>
    </row>
    <row r="6" spans="1:7" ht="26.25" customHeight="1" x14ac:dyDescent="0.25">
      <c r="A6" s="14">
        <v>2020</v>
      </c>
      <c r="B6" s="6" t="s">
        <v>5</v>
      </c>
      <c r="C6" s="7">
        <v>2.4</v>
      </c>
      <c r="D6" s="7">
        <v>1.1399999999999999</v>
      </c>
      <c r="E6" s="8">
        <f t="shared" si="0"/>
        <v>0.47499999999999998</v>
      </c>
      <c r="F6" s="9"/>
      <c r="G6" s="9"/>
    </row>
    <row r="7" spans="1:7" ht="26.25" customHeight="1" x14ac:dyDescent="0.25">
      <c r="A7" s="14">
        <v>2020</v>
      </c>
      <c r="B7" s="10" t="s">
        <v>6</v>
      </c>
      <c r="C7" s="10">
        <f>SUM(C2+C5+C6)</f>
        <v>230.79999999999998</v>
      </c>
      <c r="D7" s="10">
        <f>SUM(D2+D5+D6)</f>
        <v>224.20999999999998</v>
      </c>
      <c r="E7" s="11">
        <f t="shared" si="0"/>
        <v>0.97144714038128244</v>
      </c>
      <c r="F7" s="12">
        <f>F2</f>
        <v>9182</v>
      </c>
      <c r="G7" s="12">
        <f>SUM(G3:G4)</f>
        <v>7190</v>
      </c>
    </row>
    <row r="8" spans="1:7" ht="26.25" customHeight="1" x14ac:dyDescent="0.25">
      <c r="A8" s="14">
        <v>2021</v>
      </c>
      <c r="B8" s="6" t="s">
        <v>0</v>
      </c>
      <c r="C8" s="15">
        <f>SUM(C9:C10)</f>
        <v>128.39999999999998</v>
      </c>
      <c r="D8" s="15">
        <f>SUM(D9:D10)</f>
        <v>168.38</v>
      </c>
      <c r="E8" s="8">
        <f t="shared" ref="E8" si="1">D8/C8</f>
        <v>1.3113707165109036</v>
      </c>
      <c r="F8" s="15">
        <f>SUM(F9:F10)</f>
        <v>9719</v>
      </c>
      <c r="G8" s="15">
        <f>SUM(G9:G10)</f>
        <v>7611</v>
      </c>
    </row>
    <row r="9" spans="1:7" ht="26.25" customHeight="1" x14ac:dyDescent="0.25">
      <c r="A9" s="14">
        <v>2021</v>
      </c>
      <c r="B9" s="1" t="s">
        <v>1</v>
      </c>
      <c r="C9" s="2">
        <v>33.299999999999997</v>
      </c>
      <c r="D9" s="2">
        <v>53.52</v>
      </c>
      <c r="E9" s="3">
        <f>D9/C9</f>
        <v>1.6072072072072074</v>
      </c>
      <c r="F9" s="4">
        <v>8906</v>
      </c>
      <c r="G9" s="4">
        <v>6991</v>
      </c>
    </row>
    <row r="10" spans="1:7" ht="26.25" customHeight="1" x14ac:dyDescent="0.25">
      <c r="A10" s="14">
        <v>2021</v>
      </c>
      <c r="B10" s="1" t="s">
        <v>2</v>
      </c>
      <c r="C10" s="2">
        <v>95.1</v>
      </c>
      <c r="D10" s="2">
        <v>114.86</v>
      </c>
      <c r="E10" s="3">
        <f>D10/C10</f>
        <v>1.2077812828601473</v>
      </c>
      <c r="F10" s="4">
        <v>813</v>
      </c>
      <c r="G10" s="4">
        <v>620</v>
      </c>
    </row>
    <row r="11" spans="1:7" ht="26.25" customHeight="1" x14ac:dyDescent="0.25">
      <c r="A11" s="14">
        <v>2021</v>
      </c>
      <c r="B11" s="6" t="s">
        <v>4</v>
      </c>
      <c r="C11" s="7">
        <v>100</v>
      </c>
      <c r="D11" s="7">
        <v>49.6</v>
      </c>
      <c r="E11" s="8">
        <f t="shared" ref="E11:E13" si="2">D11/C11</f>
        <v>0.496</v>
      </c>
      <c r="F11" s="9"/>
      <c r="G11" s="9"/>
    </row>
    <row r="12" spans="1:7" ht="26.25" customHeight="1" x14ac:dyDescent="0.25">
      <c r="A12" s="14">
        <v>2021</v>
      </c>
      <c r="B12" s="6" t="s">
        <v>5</v>
      </c>
      <c r="C12" s="7">
        <v>2.4</v>
      </c>
      <c r="D12" s="7">
        <v>1.141</v>
      </c>
      <c r="E12" s="8">
        <f t="shared" si="2"/>
        <v>0.47541666666666671</v>
      </c>
      <c r="F12" s="9"/>
      <c r="G12" s="9"/>
    </row>
    <row r="13" spans="1:7" ht="26.25" customHeight="1" x14ac:dyDescent="0.25">
      <c r="A13" s="14">
        <v>2021</v>
      </c>
      <c r="B13" s="10" t="s">
        <v>6</v>
      </c>
      <c r="C13" s="10">
        <f>SUM(C8+C11+C12)</f>
        <v>230.79999999999998</v>
      </c>
      <c r="D13" s="10">
        <f>SUM(D8+D11+D12)</f>
        <v>219.12099999999998</v>
      </c>
      <c r="E13" s="11">
        <f t="shared" si="2"/>
        <v>0.94939774696707102</v>
      </c>
      <c r="F13" s="12">
        <f>F8</f>
        <v>9719</v>
      </c>
      <c r="G13" s="12">
        <f>SUM(G9:G10)</f>
        <v>7611</v>
      </c>
    </row>
    <row r="14" spans="1:7" ht="26.25" customHeight="1" x14ac:dyDescent="0.25">
      <c r="A14" s="14">
        <v>2022</v>
      </c>
      <c r="B14" s="6" t="s">
        <v>0</v>
      </c>
      <c r="C14" s="15">
        <f>SUM(C15:C16)</f>
        <v>128.39999999999998</v>
      </c>
      <c r="D14" s="15">
        <f>SUM(D15:D16)</f>
        <v>192.86</v>
      </c>
      <c r="E14" s="8">
        <f t="shared" ref="E14:E19" si="3">D14/C14</f>
        <v>1.5020249221183803</v>
      </c>
      <c r="F14" s="15">
        <v>9725</v>
      </c>
      <c r="G14" s="15">
        <f>SUM(G15:G16)</f>
        <v>6991</v>
      </c>
    </row>
    <row r="15" spans="1:7" ht="26.25" customHeight="1" x14ac:dyDescent="0.25">
      <c r="A15" s="14">
        <v>2022</v>
      </c>
      <c r="B15" s="1" t="s">
        <v>1</v>
      </c>
      <c r="C15" s="2">
        <v>33.299999999999997</v>
      </c>
      <c r="D15" s="2">
        <v>54.39</v>
      </c>
      <c r="E15" s="3">
        <f>D15/C15</f>
        <v>1.6333333333333335</v>
      </c>
      <c r="F15" s="4">
        <v>8906</v>
      </c>
      <c r="G15" s="4">
        <v>6991</v>
      </c>
    </row>
    <row r="16" spans="1:7" ht="26.25" customHeight="1" x14ac:dyDescent="0.25">
      <c r="A16" s="14">
        <v>2022</v>
      </c>
      <c r="B16" s="1" t="s">
        <v>2</v>
      </c>
      <c r="C16" s="2">
        <v>95.1</v>
      </c>
      <c r="D16" s="2">
        <v>138.47</v>
      </c>
      <c r="E16" s="3">
        <f>D16/C16</f>
        <v>1.4560462670872767</v>
      </c>
      <c r="F16" s="5" t="s">
        <v>3</v>
      </c>
      <c r="G16" s="4"/>
    </row>
    <row r="17" spans="1:7" ht="26.25" customHeight="1" x14ac:dyDescent="0.25">
      <c r="A17" s="14">
        <v>2022</v>
      </c>
      <c r="B17" s="6" t="s">
        <v>4</v>
      </c>
      <c r="C17" s="7">
        <v>100</v>
      </c>
      <c r="D17" s="7">
        <v>49.6</v>
      </c>
      <c r="E17" s="8">
        <f t="shared" ref="E17:E19" si="4">D17/C17</f>
        <v>0.496</v>
      </c>
      <c r="F17" s="9"/>
      <c r="G17" s="9"/>
    </row>
    <row r="18" spans="1:7" ht="26.25" customHeight="1" x14ac:dyDescent="0.25">
      <c r="A18" s="14">
        <v>2022</v>
      </c>
      <c r="B18" s="6" t="s">
        <v>5</v>
      </c>
      <c r="C18" s="7">
        <v>2.4</v>
      </c>
      <c r="D18" s="7">
        <v>1</v>
      </c>
      <c r="E18" s="8">
        <f t="shared" si="4"/>
        <v>0.41666666666666669</v>
      </c>
      <c r="F18" s="9"/>
      <c r="G18" s="9"/>
    </row>
    <row r="19" spans="1:7" ht="26.25" customHeight="1" x14ac:dyDescent="0.25">
      <c r="A19" s="14">
        <v>2022</v>
      </c>
      <c r="B19" s="10" t="s">
        <v>6</v>
      </c>
      <c r="C19" s="10">
        <f>SUM(C14+C17+C18)</f>
        <v>230.79999999999998</v>
      </c>
      <c r="D19" s="10">
        <f>SUM(D14+D17+D18)</f>
        <v>243.46</v>
      </c>
      <c r="E19" s="11">
        <f t="shared" si="4"/>
        <v>1.0548526863084924</v>
      </c>
      <c r="F19" s="12">
        <f>F14</f>
        <v>9725</v>
      </c>
      <c r="G19" s="12">
        <f>SUM(G15:G16)</f>
        <v>6991</v>
      </c>
    </row>
    <row r="20" spans="1:7" ht="26.25" customHeight="1" x14ac:dyDescent="0.25">
      <c r="A20" s="14">
        <v>2023</v>
      </c>
      <c r="B20" s="1" t="s">
        <v>0</v>
      </c>
      <c r="C20" s="2">
        <f>SUM(C21:C22)</f>
        <v>128.39999999999998</v>
      </c>
      <c r="D20" s="2">
        <f>SUM(D21:D22)</f>
        <v>192.86</v>
      </c>
      <c r="E20" s="13">
        <f t="shared" ref="E20:E25" si="5">D20/C20</f>
        <v>1.5020249221183803</v>
      </c>
      <c r="F20" s="2">
        <v>9725</v>
      </c>
      <c r="G20" s="2">
        <f>SUM(G21:G22)</f>
        <v>6991</v>
      </c>
    </row>
    <row r="21" spans="1:7" ht="26.25" customHeight="1" x14ac:dyDescent="0.25">
      <c r="A21" s="14">
        <v>2023</v>
      </c>
      <c r="B21" s="1" t="s">
        <v>1</v>
      </c>
      <c r="C21" s="2">
        <v>33.299999999999997</v>
      </c>
      <c r="D21" s="2">
        <v>54.39</v>
      </c>
      <c r="E21" s="3">
        <f>D21/C21</f>
        <v>1.6333333333333335</v>
      </c>
      <c r="F21" s="4">
        <v>8906</v>
      </c>
      <c r="G21" s="4">
        <v>6991</v>
      </c>
    </row>
    <row r="22" spans="1:7" ht="26.25" customHeight="1" x14ac:dyDescent="0.25">
      <c r="A22" s="14">
        <v>2023</v>
      </c>
      <c r="B22" s="1" t="s">
        <v>2</v>
      </c>
      <c r="C22" s="2">
        <v>95.1</v>
      </c>
      <c r="D22" s="2">
        <v>138.47</v>
      </c>
      <c r="E22" s="3">
        <f>D22/C22</f>
        <v>1.4560462670872767</v>
      </c>
      <c r="F22" s="5" t="s">
        <v>3</v>
      </c>
      <c r="G22" s="4"/>
    </row>
    <row r="23" spans="1:7" ht="26.25" customHeight="1" x14ac:dyDescent="0.25">
      <c r="A23" s="14">
        <v>2023</v>
      </c>
      <c r="B23" s="6" t="s">
        <v>4</v>
      </c>
      <c r="C23" s="7">
        <v>100</v>
      </c>
      <c r="D23" s="7">
        <v>49.6</v>
      </c>
      <c r="E23" s="8">
        <f t="shared" si="5"/>
        <v>0.496</v>
      </c>
      <c r="F23" s="9"/>
      <c r="G23" s="9"/>
    </row>
    <row r="24" spans="1:7" ht="26.25" customHeight="1" x14ac:dyDescent="0.25">
      <c r="A24" s="14">
        <v>2023</v>
      </c>
      <c r="B24" s="6" t="s">
        <v>5</v>
      </c>
      <c r="C24" s="7">
        <v>2.4</v>
      </c>
      <c r="D24" s="7">
        <v>1.6</v>
      </c>
      <c r="E24" s="8">
        <f t="shared" si="5"/>
        <v>0.66666666666666674</v>
      </c>
      <c r="F24" s="9"/>
      <c r="G24" s="9"/>
    </row>
    <row r="25" spans="1:7" ht="26.25" customHeight="1" x14ac:dyDescent="0.25">
      <c r="A25" s="14">
        <v>2023</v>
      </c>
      <c r="B25" s="10" t="s">
        <v>6</v>
      </c>
      <c r="C25" s="10">
        <f>SUM(C20+C23+C24)</f>
        <v>230.79999999999998</v>
      </c>
      <c r="D25" s="10">
        <f>SUM(D20+D23+D24)</f>
        <v>244.06</v>
      </c>
      <c r="E25" s="11">
        <f t="shared" si="5"/>
        <v>1.0574523396880418</v>
      </c>
      <c r="F25" s="12">
        <f>F20</f>
        <v>9725</v>
      </c>
      <c r="G25" s="12">
        <f>SUM(G21:G22)</f>
        <v>6991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Ressources en eau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noura</dc:creator>
  <cp:lastModifiedBy>Noura Ferjani</cp:lastModifiedBy>
  <dcterms:created xsi:type="dcterms:W3CDTF">2015-06-05T18:19:34Z</dcterms:created>
  <dcterms:modified xsi:type="dcterms:W3CDTF">2025-10-02T08:49:39Z</dcterms:modified>
</cp:coreProperties>
</file>