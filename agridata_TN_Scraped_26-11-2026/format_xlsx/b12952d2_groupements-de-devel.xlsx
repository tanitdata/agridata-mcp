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Béja\"/>
    </mc:Choice>
  </mc:AlternateContent>
  <xr:revisionPtr revIDLastSave="0" documentId="13_ncr:1_{EFC8B5F6-D9CB-4AAE-B8FA-D235555F50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1" l="1"/>
  <c r="D11" i="1"/>
  <c r="C11" i="1"/>
  <c r="B11" i="1"/>
  <c r="H10" i="1"/>
  <c r="G10" i="1"/>
  <c r="H9" i="1"/>
  <c r="G9" i="1"/>
  <c r="E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E2" i="1"/>
  <c r="H11" i="1" l="1"/>
  <c r="E11" i="1"/>
  <c r="G11" i="1"/>
</calcChain>
</file>

<file path=xl/sharedStrings.xml><?xml version="1.0" encoding="utf-8"?>
<sst xmlns="http://schemas.openxmlformats.org/spreadsheetml/2006/main" count="18" uniqueCount="18">
  <si>
    <t>Béja Nord</t>
  </si>
  <si>
    <t>Béja sud</t>
  </si>
  <si>
    <t>Medjez</t>
  </si>
  <si>
    <t>Goubellat</t>
  </si>
  <si>
    <t>Testour</t>
  </si>
  <si>
    <t>Teboursouk</t>
  </si>
  <si>
    <t>Thibar</t>
  </si>
  <si>
    <t>Amdoun</t>
  </si>
  <si>
    <t>Nefza</t>
  </si>
  <si>
    <t>Gouvernorat</t>
  </si>
  <si>
    <t>Délégation</t>
  </si>
  <si>
    <t>Nombre de groupements_eau potable</t>
  </si>
  <si>
    <t>Nombre de bénéficiaires_eau potable</t>
  </si>
  <si>
    <t>Nombre de groupements_Irrigation</t>
  </si>
  <si>
    <t>Superficie_irrigation</t>
  </si>
  <si>
    <t>Nombre de bénéficiaires_irrigation</t>
  </si>
  <si>
    <t>Nombre total de groupements</t>
  </si>
  <si>
    <t>Nombre total de bénéficiaires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</si>
</sst>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16" sqref="G16"/>
    </sheetView>
  </sheetViews>
  <sheetFormatPr baseColWidth="10" defaultColWidth="9.140625" defaultRowHeight="15" x14ac:dyDescent="0.25"/>
  <cols>
    <col min="1" max="1" width="17.140625" customWidth="1"/>
    <col min="2" max="2" width="26.5703125" customWidth="1"/>
    <col min="3" max="3" width="28.5703125" customWidth="1"/>
    <col min="4" max="4" width="23.28515625" customWidth="1"/>
    <col min="5" max="5" width="18.7109375" customWidth="1"/>
    <col min="6" max="6" width="23.28515625" customWidth="1"/>
    <col min="7" max="7" width="19.42578125" customWidth="1"/>
    <col min="8" max="8" width="23.28515625" customWidth="1"/>
  </cols>
  <sheetData>
    <row r="1" spans="1:8" ht="30" customHeight="1" x14ac:dyDescent="0.25">
      <c r="A1" s="1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</row>
    <row r="2" spans="1:8" ht="15.75" x14ac:dyDescent="0.25">
      <c r="A2" s="2" t="s">
        <v>0</v>
      </c>
      <c r="B2" s="2">
        <v>21</v>
      </c>
      <c r="C2" s="2">
        <v>17069</v>
      </c>
      <c r="D2" s="3">
        <v>2</v>
      </c>
      <c r="E2" s="3">
        <f>52+142</f>
        <v>194</v>
      </c>
      <c r="F2" s="3">
        <v>73</v>
      </c>
      <c r="G2" s="3">
        <f>B2+D2</f>
        <v>23</v>
      </c>
      <c r="H2" s="3">
        <f>C2+F2</f>
        <v>17142</v>
      </c>
    </row>
    <row r="3" spans="1:8" ht="15.75" x14ac:dyDescent="0.25">
      <c r="A3" s="2" t="s">
        <v>1</v>
      </c>
      <c r="B3" s="2">
        <v>12</v>
      </c>
      <c r="C3" s="2">
        <v>6060</v>
      </c>
      <c r="D3" s="3">
        <v>6</v>
      </c>
      <c r="E3" s="3">
        <v>2709</v>
      </c>
      <c r="F3" s="3">
        <v>571</v>
      </c>
      <c r="G3" s="3">
        <f>B3+D3</f>
        <v>18</v>
      </c>
      <c r="H3" s="3">
        <f>C3+F3</f>
        <v>6631</v>
      </c>
    </row>
    <row r="4" spans="1:8" ht="15.75" x14ac:dyDescent="0.25">
      <c r="A4" s="2" t="s">
        <v>2</v>
      </c>
      <c r="B4" s="2">
        <v>8</v>
      </c>
      <c r="C4" s="2">
        <v>3939</v>
      </c>
      <c r="D4" s="3">
        <v>1</v>
      </c>
      <c r="E4" s="3">
        <v>340</v>
      </c>
      <c r="F4" s="3">
        <v>18</v>
      </c>
      <c r="G4" s="3">
        <f>B4+D4</f>
        <v>9</v>
      </c>
      <c r="H4" s="3">
        <f>C4+F4</f>
        <v>3957</v>
      </c>
    </row>
    <row r="5" spans="1:8" ht="15.75" x14ac:dyDescent="0.25">
      <c r="A5" s="2" t="s">
        <v>3</v>
      </c>
      <c r="B5" s="2">
        <v>8</v>
      </c>
      <c r="C5" s="2">
        <v>7994</v>
      </c>
      <c r="D5" s="3">
        <v>2</v>
      </c>
      <c r="E5" s="3">
        <v>3062</v>
      </c>
      <c r="F5" s="3">
        <v>466</v>
      </c>
      <c r="G5" s="3">
        <f>B5+D5</f>
        <v>10</v>
      </c>
      <c r="H5" s="3">
        <f>C5+F5</f>
        <v>8460</v>
      </c>
    </row>
    <row r="6" spans="1:8" ht="15.75" x14ac:dyDescent="0.25">
      <c r="A6" s="2" t="s">
        <v>4</v>
      </c>
      <c r="B6" s="2">
        <v>9</v>
      </c>
      <c r="C6" s="2">
        <v>5626</v>
      </c>
      <c r="D6" s="3">
        <v>6</v>
      </c>
      <c r="E6" s="3">
        <v>2237</v>
      </c>
      <c r="F6" s="3">
        <v>405</v>
      </c>
      <c r="G6" s="3">
        <f>B6+D6</f>
        <v>15</v>
      </c>
      <c r="H6" s="3">
        <f>C6+F6</f>
        <v>6031</v>
      </c>
    </row>
    <row r="7" spans="1:8" ht="15.75" x14ac:dyDescent="0.25">
      <c r="A7" s="2" t="s">
        <v>5</v>
      </c>
      <c r="B7" s="2">
        <v>8</v>
      </c>
      <c r="C7" s="2">
        <v>5782</v>
      </c>
      <c r="D7" s="3">
        <v>2</v>
      </c>
      <c r="E7" s="3">
        <v>130</v>
      </c>
      <c r="F7" s="3">
        <v>15</v>
      </c>
      <c r="G7" s="3">
        <f>B7+D7</f>
        <v>10</v>
      </c>
      <c r="H7" s="3">
        <f>C7+F7</f>
        <v>5797</v>
      </c>
    </row>
    <row r="8" spans="1:8" ht="15.75" x14ac:dyDescent="0.25">
      <c r="A8" s="2" t="s">
        <v>6</v>
      </c>
      <c r="B8" s="2">
        <v>1</v>
      </c>
      <c r="C8" s="2">
        <v>911</v>
      </c>
      <c r="D8" s="3">
        <v>4</v>
      </c>
      <c r="E8" s="3">
        <v>1192</v>
      </c>
      <c r="F8" s="3">
        <v>1045</v>
      </c>
      <c r="G8" s="3">
        <f>B8+D8</f>
        <v>5</v>
      </c>
      <c r="H8" s="3">
        <f>C8+F8</f>
        <v>1956</v>
      </c>
    </row>
    <row r="9" spans="1:8" ht="15.75" x14ac:dyDescent="0.25">
      <c r="A9" s="2" t="s">
        <v>7</v>
      </c>
      <c r="B9" s="2">
        <v>14</v>
      </c>
      <c r="C9" s="2">
        <v>12257</v>
      </c>
      <c r="D9" s="3">
        <v>2</v>
      </c>
      <c r="E9" s="3">
        <f>102+78</f>
        <v>180</v>
      </c>
      <c r="F9" s="3">
        <v>97</v>
      </c>
      <c r="G9" s="3">
        <f>B9+D9</f>
        <v>16</v>
      </c>
      <c r="H9" s="3">
        <f>C9+F9</f>
        <v>12354</v>
      </c>
    </row>
    <row r="10" spans="1:8" ht="15.75" x14ac:dyDescent="0.25">
      <c r="A10" s="2" t="s">
        <v>8</v>
      </c>
      <c r="B10" s="2">
        <v>21</v>
      </c>
      <c r="C10" s="2">
        <v>27085</v>
      </c>
      <c r="D10" s="3">
        <v>6</v>
      </c>
      <c r="E10" s="3">
        <v>2696</v>
      </c>
      <c r="F10" s="3">
        <v>3023</v>
      </c>
      <c r="G10" s="3">
        <f>B10+D10</f>
        <v>27</v>
      </c>
      <c r="H10" s="3">
        <f>C10+F10</f>
        <v>30108</v>
      </c>
    </row>
    <row r="11" spans="1:8" ht="15.75" x14ac:dyDescent="0.25">
      <c r="A11" s="2" t="s">
        <v>9</v>
      </c>
      <c r="B11" s="2">
        <f>SUM(B2:B10)</f>
        <v>102</v>
      </c>
      <c r="C11" s="2">
        <f>SUM(C2:C10)</f>
        <v>86723</v>
      </c>
      <c r="D11" s="3">
        <f>SUM(D2:D10)</f>
        <v>31</v>
      </c>
      <c r="E11" s="3">
        <f>SUM(E2:E10)</f>
        <v>12740</v>
      </c>
      <c r="F11" s="3">
        <f>SUM(F2:F10)</f>
        <v>5713</v>
      </c>
      <c r="G11" s="3">
        <f>B11+D11</f>
        <v>133</v>
      </c>
      <c r="H11" s="3">
        <f>C11+F11</f>
        <v>92436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</dc:creator>
  <cp:lastModifiedBy>Noura Ferjani</cp:lastModifiedBy>
  <dcterms:created xsi:type="dcterms:W3CDTF">2015-06-05T18:19:34Z</dcterms:created>
  <dcterms:modified xsi:type="dcterms:W3CDTF">2025-11-21T15:06:55Z</dcterms:modified>
</cp:coreProperties>
</file>