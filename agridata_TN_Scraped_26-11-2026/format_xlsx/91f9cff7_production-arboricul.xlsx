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K16" i="1"/>
  <c r="J16" i="1"/>
  <c r="F16" i="1"/>
  <c r="E16" i="1"/>
  <c r="D16" i="1"/>
  <c r="C16" i="1"/>
  <c r="B16" i="1"/>
  <c r="I15" i="1"/>
  <c r="G15" i="1"/>
  <c r="G14" i="1"/>
  <c r="H13" i="1"/>
  <c r="H16" i="1" s="1"/>
  <c r="G13" i="1"/>
  <c r="I12" i="1"/>
  <c r="M10" i="1"/>
  <c r="I9" i="1"/>
  <c r="I8" i="1"/>
  <c r="M6" i="1"/>
  <c r="I6" i="1"/>
  <c r="I2" i="1"/>
  <c r="I13" i="1" l="1"/>
  <c r="I16" i="1" s="1"/>
  <c r="M16" i="1"/>
  <c r="G16" i="1"/>
</calcChain>
</file>

<file path=xl/sharedStrings.xml><?xml version="1.0" encoding="utf-8"?>
<sst xmlns="http://schemas.openxmlformats.org/spreadsheetml/2006/main" count="28" uniqueCount="28">
  <si>
    <t>صفاقس الجنوبية</t>
  </si>
  <si>
    <t>طينة</t>
  </si>
  <si>
    <t>ساقية الزيت</t>
  </si>
  <si>
    <t>ساقية الدائر</t>
  </si>
  <si>
    <t>جبنيانة</t>
  </si>
  <si>
    <t>العامرة</t>
  </si>
  <si>
    <t>الحنشة</t>
  </si>
  <si>
    <t>منزل شاكر</t>
  </si>
  <si>
    <t>عقارب</t>
  </si>
  <si>
    <t>المحرس</t>
  </si>
  <si>
    <t xml:space="preserve">بئر علي </t>
  </si>
  <si>
    <t>الصخيرة</t>
  </si>
  <si>
    <t>الغربية</t>
  </si>
  <si>
    <t>قرقنة</t>
  </si>
  <si>
    <t xml:space="preserve">المجمــوع </t>
  </si>
  <si>
    <t>زيتون 2017</t>
  </si>
  <si>
    <t>زيتون2018</t>
  </si>
  <si>
    <t xml:space="preserve">زيتون 2019 </t>
  </si>
  <si>
    <t>زيتون2020</t>
  </si>
  <si>
    <t>لوز2017</t>
  </si>
  <si>
    <t>لوز2018</t>
  </si>
  <si>
    <t>لوز2019</t>
  </si>
  <si>
    <t>لوز2020</t>
  </si>
  <si>
    <t>مختلفات2017</t>
  </si>
  <si>
    <t>مختلفات2018</t>
  </si>
  <si>
    <t>مختلفات2019</t>
  </si>
  <si>
    <t>مختلفات2020</t>
  </si>
  <si>
    <t>معتمدية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</si>
</sst>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2"/>
      <name val="Arial Unicode MS"/>
      <family val="2"/>
    </font>
    <font>
      <sz val="12"/>
      <name val="Arial Unicode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1" fillId="3" borderId="6" xfId="0" applyNumberFormat="1" applyFont="1" applyFill="1" applyBorder="1" applyAlignment="1"/>
    <xf numFmtId="1" fontId="1" fillId="3" borderId="7" xfId="0" applyNumberFormat="1" applyFont="1" applyFill="1" applyBorder="1" applyAlignment="1"/>
    <xf numFmtId="1" fontId="2" fillId="2" borderId="8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rightToLeft="1" tabSelected="1" workbookViewId="0">
      <selection activeCell="F20" sqref="F20"/>
    </sheetView>
  </sheetViews>
  <sheetFormatPr baseColWidth="10" defaultColWidth="9.140625" defaultRowHeight="15"/>
  <sheetData>
    <row r="1" spans="1:23" ht="16.5" thickBot="1">
      <c r="A1" s="22" t="s">
        <v>27</v>
      </c>
      <c r="B1" s="2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4" t="s">
        <v>26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1.5">
      <c r="A2" s="5" t="s">
        <v>0</v>
      </c>
      <c r="B2" s="6">
        <v>240</v>
      </c>
      <c r="C2" s="7">
        <v>1471.2</v>
      </c>
      <c r="D2" s="7">
        <v>1900</v>
      </c>
      <c r="E2" s="7">
        <v>3250</v>
      </c>
      <c r="F2" s="8">
        <v>720</v>
      </c>
      <c r="G2" s="7">
        <v>1260</v>
      </c>
      <c r="H2" s="7">
        <v>1228.752</v>
      </c>
      <c r="I2" s="7">
        <f>H2*0.67</f>
        <v>823.26384000000007</v>
      </c>
      <c r="J2" s="8">
        <v>388.5</v>
      </c>
      <c r="K2" s="7">
        <v>299.14972458688032</v>
      </c>
      <c r="L2" s="9">
        <v>380</v>
      </c>
      <c r="M2" s="10">
        <v>400</v>
      </c>
    </row>
    <row r="3" spans="1:23" ht="15.75">
      <c r="A3" s="11" t="s">
        <v>1</v>
      </c>
      <c r="B3" s="6">
        <v>376</v>
      </c>
      <c r="C3" s="7">
        <v>2304.88</v>
      </c>
      <c r="D3" s="7">
        <v>1550</v>
      </c>
      <c r="E3" s="7">
        <v>5680</v>
      </c>
      <c r="F3" s="8">
        <v>17</v>
      </c>
      <c r="G3" s="7">
        <v>29.75</v>
      </c>
      <c r="H3" s="7">
        <v>29.0122</v>
      </c>
      <c r="I3" s="7">
        <v>20</v>
      </c>
      <c r="J3" s="8">
        <v>126</v>
      </c>
      <c r="K3" s="7">
        <v>97.021532298447667</v>
      </c>
      <c r="L3" s="9">
        <v>115</v>
      </c>
      <c r="M3" s="10">
        <v>120</v>
      </c>
    </row>
    <row r="4" spans="1:23" ht="15.75">
      <c r="A4" s="11" t="s">
        <v>2</v>
      </c>
      <c r="B4" s="6">
        <v>280</v>
      </c>
      <c r="C4" s="7">
        <v>1716.3999999999999</v>
      </c>
      <c r="D4" s="7">
        <v>510</v>
      </c>
      <c r="E4" s="7">
        <v>3200</v>
      </c>
      <c r="F4" s="8">
        <v>360</v>
      </c>
      <c r="G4" s="7">
        <v>630</v>
      </c>
      <c r="H4" s="7">
        <v>614.37599999999998</v>
      </c>
      <c r="I4" s="7">
        <v>413</v>
      </c>
      <c r="J4" s="8">
        <v>126</v>
      </c>
      <c r="K4" s="7">
        <v>97.021532298447667</v>
      </c>
      <c r="L4" s="9">
        <v>115</v>
      </c>
      <c r="M4" s="10">
        <v>120</v>
      </c>
    </row>
    <row r="5" spans="1:23" ht="15.75">
      <c r="A5" s="11" t="s">
        <v>3</v>
      </c>
      <c r="B5" s="6">
        <v>320</v>
      </c>
      <c r="C5" s="7">
        <v>1961.6</v>
      </c>
      <c r="D5" s="7">
        <v>700</v>
      </c>
      <c r="E5" s="7">
        <v>3900</v>
      </c>
      <c r="F5" s="8">
        <v>360</v>
      </c>
      <c r="G5" s="7">
        <v>630</v>
      </c>
      <c r="H5" s="7">
        <v>614.37599999999998</v>
      </c>
      <c r="I5" s="7">
        <v>413</v>
      </c>
      <c r="J5" s="8">
        <v>126</v>
      </c>
      <c r="K5" s="7">
        <v>97.021532298447667</v>
      </c>
      <c r="L5" s="9">
        <v>120</v>
      </c>
      <c r="M5" s="10">
        <v>125</v>
      </c>
    </row>
    <row r="6" spans="1:23" ht="15.75">
      <c r="A6" s="11" t="s">
        <v>4</v>
      </c>
      <c r="B6" s="6">
        <v>2880</v>
      </c>
      <c r="C6" s="7">
        <v>17654.400000000001</v>
      </c>
      <c r="D6" s="7">
        <v>1800</v>
      </c>
      <c r="E6" s="7">
        <v>25120</v>
      </c>
      <c r="F6" s="8">
        <v>300</v>
      </c>
      <c r="G6" s="7">
        <v>525</v>
      </c>
      <c r="H6" s="7">
        <v>511.97999999999996</v>
      </c>
      <c r="I6" s="7">
        <f t="shared" ref="I6:I15" si="0">H6*0.67</f>
        <v>343.02659999999997</v>
      </c>
      <c r="J6" s="8">
        <v>147</v>
      </c>
      <c r="K6" s="7">
        <v>113.19178768152227</v>
      </c>
      <c r="L6" s="9">
        <v>130</v>
      </c>
      <c r="M6" s="10">
        <f>L6*1.02</f>
        <v>132.6</v>
      </c>
    </row>
    <row r="7" spans="1:23" ht="15.75">
      <c r="A7" s="11" t="s">
        <v>5</v>
      </c>
      <c r="B7" s="6">
        <v>2720</v>
      </c>
      <c r="C7" s="7">
        <v>16673.599999999999</v>
      </c>
      <c r="D7" s="7">
        <v>900</v>
      </c>
      <c r="E7" s="7">
        <v>38200</v>
      </c>
      <c r="F7" s="8">
        <v>276</v>
      </c>
      <c r="G7" s="7">
        <v>483</v>
      </c>
      <c r="H7" s="7">
        <v>471.02159999999998</v>
      </c>
      <c r="I7" s="7">
        <v>319</v>
      </c>
      <c r="J7" s="8">
        <v>147</v>
      </c>
      <c r="K7" s="7">
        <v>113.19178768152227</v>
      </c>
      <c r="L7" s="9">
        <v>130</v>
      </c>
      <c r="M7" s="10">
        <v>135</v>
      </c>
    </row>
    <row r="8" spans="1:23" ht="15.75">
      <c r="A8" s="11" t="s">
        <v>6</v>
      </c>
      <c r="B8" s="6">
        <v>6400</v>
      </c>
      <c r="C8" s="7">
        <v>39232</v>
      </c>
      <c r="D8" s="7">
        <v>1850</v>
      </c>
      <c r="E8" s="7">
        <v>55800</v>
      </c>
      <c r="F8" s="8">
        <v>420</v>
      </c>
      <c r="G8" s="7">
        <v>735</v>
      </c>
      <c r="H8" s="7">
        <v>716.77199999999993</v>
      </c>
      <c r="I8" s="7">
        <f t="shared" si="0"/>
        <v>480.23723999999999</v>
      </c>
      <c r="J8" s="8">
        <v>84</v>
      </c>
      <c r="K8" s="7">
        <v>64.681021532298445</v>
      </c>
      <c r="L8" s="9">
        <v>82</v>
      </c>
      <c r="M8" s="10">
        <v>90</v>
      </c>
    </row>
    <row r="9" spans="1:23" ht="15.75">
      <c r="A9" s="11" t="s">
        <v>7</v>
      </c>
      <c r="B9" s="6">
        <v>16400</v>
      </c>
      <c r="C9" s="7">
        <v>100532</v>
      </c>
      <c r="D9" s="7">
        <v>8300</v>
      </c>
      <c r="E9" s="7">
        <v>97500</v>
      </c>
      <c r="F9" s="8">
        <v>780</v>
      </c>
      <c r="G9" s="7">
        <v>1365</v>
      </c>
      <c r="H9" s="7">
        <v>1331.1479999999999</v>
      </c>
      <c r="I9" s="7">
        <f t="shared" si="0"/>
        <v>891.86915999999997</v>
      </c>
      <c r="J9" s="8">
        <v>630</v>
      </c>
      <c r="K9" s="7">
        <v>485.10766149223832</v>
      </c>
      <c r="L9" s="9">
        <v>630</v>
      </c>
      <c r="M9" s="10">
        <v>645</v>
      </c>
    </row>
    <row r="10" spans="1:23" ht="15.75">
      <c r="A10" s="11" t="s">
        <v>8</v>
      </c>
      <c r="B10" s="6">
        <v>6800</v>
      </c>
      <c r="C10" s="7">
        <v>41684</v>
      </c>
      <c r="D10" s="7">
        <v>1650</v>
      </c>
      <c r="E10" s="7">
        <v>15096</v>
      </c>
      <c r="F10" s="8">
        <v>900</v>
      </c>
      <c r="G10" s="7">
        <v>1575</v>
      </c>
      <c r="H10" s="7">
        <v>1535.9399999999998</v>
      </c>
      <c r="I10" s="7">
        <v>1030</v>
      </c>
      <c r="J10" s="8">
        <v>525</v>
      </c>
      <c r="K10" s="7">
        <v>404.25638457686529</v>
      </c>
      <c r="L10" s="9">
        <v>505</v>
      </c>
      <c r="M10" s="10">
        <f>L10*1.02</f>
        <v>515.1</v>
      </c>
    </row>
    <row r="11" spans="1:23" ht="15.75">
      <c r="A11" s="11" t="s">
        <v>9</v>
      </c>
      <c r="B11" s="6">
        <v>5840</v>
      </c>
      <c r="C11" s="7">
        <v>35800</v>
      </c>
      <c r="D11" s="7">
        <v>11750</v>
      </c>
      <c r="E11" s="7">
        <v>25400</v>
      </c>
      <c r="F11" s="8">
        <v>384</v>
      </c>
      <c r="G11" s="7">
        <v>672</v>
      </c>
      <c r="H11" s="7">
        <v>655.33439999999996</v>
      </c>
      <c r="I11" s="7">
        <v>440</v>
      </c>
      <c r="J11" s="8">
        <v>630</v>
      </c>
      <c r="K11" s="7">
        <v>485.10766149223832</v>
      </c>
      <c r="L11" s="9">
        <v>630</v>
      </c>
      <c r="M11" s="10">
        <v>645</v>
      </c>
    </row>
    <row r="12" spans="1:23" ht="15.75">
      <c r="A12" s="11" t="s">
        <v>10</v>
      </c>
      <c r="B12" s="6">
        <v>8880</v>
      </c>
      <c r="C12" s="7">
        <v>54430</v>
      </c>
      <c r="D12" s="7">
        <v>8000</v>
      </c>
      <c r="E12" s="7">
        <v>23550</v>
      </c>
      <c r="F12" s="8">
        <v>780</v>
      </c>
      <c r="G12" s="7">
        <v>1365</v>
      </c>
      <c r="H12" s="7">
        <v>1331.1479999999999</v>
      </c>
      <c r="I12" s="7">
        <f t="shared" si="0"/>
        <v>891.86915999999997</v>
      </c>
      <c r="J12" s="8">
        <v>840</v>
      </c>
      <c r="K12" s="7">
        <v>646.81021532298439</v>
      </c>
      <c r="L12" s="9">
        <v>840</v>
      </c>
      <c r="M12" s="10">
        <v>860</v>
      </c>
    </row>
    <row r="13" spans="1:23" ht="15.75">
      <c r="A13" s="11" t="s">
        <v>11</v>
      </c>
      <c r="B13" s="6">
        <v>2400</v>
      </c>
      <c r="C13" s="7">
        <v>14900</v>
      </c>
      <c r="D13" s="7">
        <v>4200</v>
      </c>
      <c r="E13" s="8">
        <v>7145</v>
      </c>
      <c r="F13" s="7">
        <v>420</v>
      </c>
      <c r="G13" s="7">
        <f>F13*0.9752</f>
        <v>409.584</v>
      </c>
      <c r="H13" s="8">
        <f>1.05*200</f>
        <v>210</v>
      </c>
      <c r="I13" s="7">
        <f t="shared" si="0"/>
        <v>140.70000000000002</v>
      </c>
      <c r="J13" s="7">
        <v>161.7025538307461</v>
      </c>
      <c r="K13" s="8">
        <v>211</v>
      </c>
      <c r="L13" s="9">
        <v>211</v>
      </c>
      <c r="M13" s="10">
        <v>218</v>
      </c>
    </row>
    <row r="14" spans="1:23" ht="15.75">
      <c r="A14" s="11" t="s">
        <v>12</v>
      </c>
      <c r="B14" s="6">
        <v>2000</v>
      </c>
      <c r="C14" s="7">
        <v>12290</v>
      </c>
      <c r="D14" s="7">
        <v>420</v>
      </c>
      <c r="E14" s="8">
        <v>10415</v>
      </c>
      <c r="F14" s="7">
        <v>810.25</v>
      </c>
      <c r="G14" s="7">
        <f>F14*0.9752</f>
        <v>790.1558</v>
      </c>
      <c r="H14" s="8">
        <v>1110</v>
      </c>
      <c r="I14" s="7">
        <v>745</v>
      </c>
      <c r="J14" s="7">
        <v>854.71349881965807</v>
      </c>
      <c r="K14" s="8">
        <v>1110</v>
      </c>
      <c r="L14" s="9">
        <v>1110</v>
      </c>
      <c r="M14" s="10">
        <v>1140</v>
      </c>
    </row>
    <row r="15" spans="1:23" ht="16.5" thickBot="1">
      <c r="A15" s="12" t="s">
        <v>13</v>
      </c>
      <c r="B15" s="13">
        <v>464</v>
      </c>
      <c r="C15" s="14">
        <v>2850</v>
      </c>
      <c r="D15" s="7">
        <v>2540</v>
      </c>
      <c r="E15" s="15">
        <v>11190</v>
      </c>
      <c r="F15" s="14">
        <v>0</v>
      </c>
      <c r="G15" s="7">
        <f>F15*0.9752</f>
        <v>0</v>
      </c>
      <c r="H15" s="15">
        <v>1900</v>
      </c>
      <c r="I15" s="7">
        <f t="shared" si="0"/>
        <v>1273</v>
      </c>
      <c r="J15" s="14">
        <v>1463.0231060877029</v>
      </c>
      <c r="K15" s="15">
        <v>1900</v>
      </c>
      <c r="L15" s="16">
        <v>1900</v>
      </c>
      <c r="M15" s="10">
        <v>1940</v>
      </c>
    </row>
    <row r="16" spans="1:23" ht="17.25" thickTop="1" thickBot="1">
      <c r="A16" s="17" t="s">
        <v>14</v>
      </c>
      <c r="B16" s="18">
        <f t="shared" ref="B16:M16" si="1">SUM(B2:B15)</f>
        <v>56000</v>
      </c>
      <c r="C16" s="19">
        <f t="shared" si="1"/>
        <v>343500.08</v>
      </c>
      <c r="D16" s="19">
        <f>SUM(D2:D15)</f>
        <v>46070</v>
      </c>
      <c r="E16" s="19">
        <f>SUM(E2:E15)</f>
        <v>325446</v>
      </c>
      <c r="F16" s="19">
        <f t="shared" si="1"/>
        <v>6527.25</v>
      </c>
      <c r="G16" s="19">
        <f t="shared" si="1"/>
        <v>10469.489800000001</v>
      </c>
      <c r="H16" s="19">
        <f t="shared" si="1"/>
        <v>12259.860199999999</v>
      </c>
      <c r="I16" s="19">
        <f t="shared" si="1"/>
        <v>8223.9660000000003</v>
      </c>
      <c r="J16" s="19">
        <f>SUM(J2:J15)</f>
        <v>6248.9391587381069</v>
      </c>
      <c r="K16" s="20">
        <f t="shared" si="1"/>
        <v>6123.5608412618931</v>
      </c>
      <c r="L16" s="19">
        <f>SUM(L2:L15)</f>
        <v>6898</v>
      </c>
      <c r="M16" s="20">
        <f t="shared" si="1"/>
        <v>7085.7</v>
      </c>
    </row>
    <row r="17" spans="2:12" ht="15.75" thickTop="1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2:12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2:12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2:12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2021-07-08T08:16:59Z</dcterms:modified>
</cp:coreProperties>
</file>