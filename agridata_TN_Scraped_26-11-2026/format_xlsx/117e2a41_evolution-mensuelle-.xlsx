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 tabRatio="764"/>
  </bookViews>
  <sheets>
    <sheet name="X°2018 (1000T)" sheetId="1" r:id="rId1"/>
  </sheets>
  <externalReferences>
    <externalReference r:id="rId2"/>
  </externalReferences>
  <calcPr calcId="145621"/>
</workbook>
</file>

<file path=xl/calcChain.xml><?xml version="1.0" encoding="utf-8"?>
<calcChain xmlns="http://schemas.openxmlformats.org/spreadsheetml/2006/main">
  <c r="D2" i="1" l="1"/>
  <c r="E2" i="1"/>
  <c r="F2" i="1"/>
  <c r="G2" i="1"/>
  <c r="H2" i="1"/>
  <c r="I2" i="1"/>
  <c r="J2" i="1"/>
  <c r="K2" i="1"/>
  <c r="L2" i="1"/>
  <c r="D3" i="1"/>
  <c r="E3" i="1"/>
  <c r="F3" i="1"/>
  <c r="G3" i="1"/>
  <c r="H3" i="1"/>
  <c r="I3" i="1"/>
  <c r="J3" i="1"/>
  <c r="K3" i="1"/>
  <c r="L3" i="1"/>
  <c r="D4" i="1"/>
  <c r="E4" i="1"/>
  <c r="F4" i="1"/>
  <c r="G4" i="1"/>
  <c r="H4" i="1"/>
  <c r="I4" i="1"/>
  <c r="J4" i="1"/>
  <c r="K4" i="1"/>
  <c r="L4" i="1"/>
  <c r="D5" i="1"/>
  <c r="E5" i="1"/>
  <c r="F5" i="1"/>
  <c r="G5" i="1"/>
  <c r="H5" i="1"/>
  <c r="I5" i="1"/>
  <c r="J5" i="1"/>
  <c r="K5" i="1"/>
  <c r="L5" i="1"/>
  <c r="D6" i="1"/>
  <c r="E6" i="1"/>
  <c r="F6" i="1"/>
  <c r="G6" i="1"/>
  <c r="H6" i="1"/>
  <c r="I6" i="1"/>
  <c r="J6" i="1"/>
  <c r="K6" i="1"/>
  <c r="L6" i="1"/>
  <c r="C3" i="1"/>
  <c r="C4" i="1"/>
  <c r="C5" i="1"/>
  <c r="C6" i="1"/>
  <c r="C2" i="1"/>
  <c r="B3" i="1"/>
  <c r="B4" i="1"/>
  <c r="B5" i="1"/>
  <c r="B6" i="1"/>
  <c r="B2" i="1"/>
</calcChain>
</file>

<file path=xl/sharedStrings.xml><?xml version="1.0" encoding="utf-8"?>
<sst xmlns="http://schemas.openxmlformats.org/spreadsheetml/2006/main" count="18" uniqueCount="18">
  <si>
    <t>Poissons</t>
  </si>
  <si>
    <t>Dattes</t>
  </si>
  <si>
    <t>Agrumes</t>
  </si>
  <si>
    <t>Tomates</t>
  </si>
  <si>
    <t>Janvier</t>
  </si>
  <si>
    <t>Fevrier</t>
  </si>
  <si>
    <t>Mars</t>
  </si>
  <si>
    <t>Avril</t>
  </si>
  <si>
    <t>Mai</t>
  </si>
  <si>
    <t>Juin</t>
  </si>
  <si>
    <t>Juillet</t>
  </si>
  <si>
    <t>Août</t>
  </si>
  <si>
    <t>Septembre</t>
  </si>
  <si>
    <t>Novembre</t>
  </si>
  <si>
    <t>Octobre</t>
  </si>
  <si>
    <t>Mois</t>
  </si>
  <si>
    <t>Huile-d-olive</t>
  </si>
  <si>
    <t>Decembre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</si>
</sst>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 applyBorder="1" applyAlignment="1">
      <alignment horizontal="left" vertical="center"/>
    </xf>
    <xf numFmtId="0" fontId="0" fillId="0" borderId="0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wnloads/open%20data_commerce%20ext%20(mensuelle)%20-%20Cumu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CA (MD) Cumul"/>
      <sheetName val="X°2018 (1000T) Cumul"/>
      <sheetName val="X°2018 (MD) Cumul"/>
      <sheetName val="M°2018 (1000T) Cumul"/>
      <sheetName val="M°2018 (MD) Cumul"/>
    </sheetNames>
    <sheetDataSet>
      <sheetData sheetId="0">
        <row r="2">
          <cell r="B2">
            <v>481.9</v>
          </cell>
        </row>
      </sheetData>
      <sheetData sheetId="1">
        <row r="2">
          <cell r="B2">
            <v>23.3</v>
          </cell>
          <cell r="C2">
            <v>54.5</v>
          </cell>
          <cell r="D2">
            <v>80.400000000000006</v>
          </cell>
          <cell r="E2">
            <v>107</v>
          </cell>
          <cell r="F2">
            <v>127.8</v>
          </cell>
          <cell r="G2">
            <v>142</v>
          </cell>
          <cell r="H2">
            <v>154.69999999999999</v>
          </cell>
          <cell r="I2">
            <v>166.8</v>
          </cell>
          <cell r="J2">
            <v>176.9</v>
          </cell>
          <cell r="K2">
            <v>190.4</v>
          </cell>
          <cell r="L2">
            <v>208.2</v>
          </cell>
        </row>
        <row r="3">
          <cell r="B3">
            <v>1.4</v>
          </cell>
          <cell r="C3">
            <v>2.9</v>
          </cell>
          <cell r="D3">
            <v>4.7</v>
          </cell>
          <cell r="E3">
            <v>6.3</v>
          </cell>
          <cell r="F3">
            <v>8.1999999999999993</v>
          </cell>
          <cell r="G3">
            <v>9.6999999999999993</v>
          </cell>
          <cell r="H3">
            <v>13.2</v>
          </cell>
          <cell r="I3">
            <v>14.6</v>
          </cell>
          <cell r="J3">
            <v>16</v>
          </cell>
          <cell r="K3">
            <v>18.2</v>
          </cell>
          <cell r="L3">
            <v>20.6</v>
          </cell>
        </row>
        <row r="4">
          <cell r="B4">
            <v>14.2</v>
          </cell>
          <cell r="C4">
            <v>28.7</v>
          </cell>
          <cell r="D4">
            <v>44.8</v>
          </cell>
          <cell r="E4">
            <v>64.5</v>
          </cell>
          <cell r="F4">
            <v>77.3</v>
          </cell>
          <cell r="G4">
            <v>82.6</v>
          </cell>
          <cell r="H4">
            <v>87.2</v>
          </cell>
          <cell r="I4">
            <v>90.6</v>
          </cell>
          <cell r="J4">
            <v>94.3</v>
          </cell>
          <cell r="K4">
            <v>100.5</v>
          </cell>
          <cell r="L4">
            <v>111.8</v>
          </cell>
        </row>
        <row r="5">
          <cell r="B5">
            <v>3</v>
          </cell>
          <cell r="C5">
            <v>5.8</v>
          </cell>
          <cell r="D5">
            <v>9.8000000000000007</v>
          </cell>
          <cell r="E5">
            <v>11.5</v>
          </cell>
          <cell r="F5">
            <v>12.7</v>
          </cell>
          <cell r="G5">
            <v>20</v>
          </cell>
          <cell r="H5">
            <v>13.4</v>
          </cell>
          <cell r="I5">
            <v>13.5</v>
          </cell>
          <cell r="J5">
            <v>13.5</v>
          </cell>
          <cell r="K5">
            <v>13.6</v>
          </cell>
          <cell r="L5">
            <v>13.8</v>
          </cell>
        </row>
        <row r="6">
          <cell r="B6">
            <v>3.1</v>
          </cell>
          <cell r="C6">
            <v>4.5437370000000001</v>
          </cell>
          <cell r="D6">
            <v>9.1011009999999999</v>
          </cell>
          <cell r="E6">
            <v>12.266061000000001</v>
          </cell>
          <cell r="F6">
            <v>14.844075999999999</v>
          </cell>
          <cell r="G6">
            <v>16.799610000000001</v>
          </cell>
          <cell r="H6">
            <v>18.307565</v>
          </cell>
          <cell r="I6">
            <v>18.667892999999999</v>
          </cell>
          <cell r="J6">
            <v>19.352340999999999</v>
          </cell>
          <cell r="K6">
            <v>20.498954999999999</v>
          </cell>
          <cell r="L6">
            <v>20.893587</v>
          </cell>
        </row>
      </sheetData>
      <sheetData sheetId="2">
        <row r="2">
          <cell r="B2">
            <v>236.2</v>
          </cell>
        </row>
      </sheetData>
      <sheetData sheetId="3">
        <row r="2">
          <cell r="B2">
            <v>94.4</v>
          </cell>
        </row>
      </sheetData>
      <sheetData sheetId="4">
        <row r="2">
          <cell r="B2">
            <v>66.400000000000006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tabSelected="1" workbookViewId="0">
      <selection activeCell="M2" sqref="M2:M6"/>
    </sheetView>
  </sheetViews>
  <sheetFormatPr baseColWidth="10" defaultColWidth="9.140625" defaultRowHeight="15" x14ac:dyDescent="0.25"/>
  <cols>
    <col min="1" max="1" width="12.7109375" style="3" customWidth="1"/>
    <col min="2" max="2" width="11.7109375" style="7" customWidth="1"/>
    <col min="3" max="13" width="11.7109375" customWidth="1"/>
  </cols>
  <sheetData>
    <row r="1" spans="1:14" s="5" customFormat="1" x14ac:dyDescent="0.25">
      <c r="A1" s="4" t="s">
        <v>15</v>
      </c>
      <c r="B1" s="6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14</v>
      </c>
      <c r="L1" s="5" t="s">
        <v>13</v>
      </c>
      <c r="M1" s="5" t="s">
        <v>17</v>
      </c>
    </row>
    <row r="2" spans="1:14" x14ac:dyDescent="0.25">
      <c r="A2" s="1" t="s">
        <v>16</v>
      </c>
      <c r="B2" s="8">
        <f>'[1]X°2018 (1000T) Cumul'!B2</f>
        <v>23.3</v>
      </c>
      <c r="C2" s="9">
        <f>'[1]X°2018 (1000T) Cumul'!C2-'[1]X°2018 (1000T) Cumul'!B2</f>
        <v>31.2</v>
      </c>
      <c r="D2" s="9">
        <f>'[1]X°2018 (1000T) Cumul'!D2-'[1]X°2018 (1000T) Cumul'!C2</f>
        <v>25.900000000000006</v>
      </c>
      <c r="E2" s="9">
        <f>'[1]X°2018 (1000T) Cumul'!E2-'[1]X°2018 (1000T) Cumul'!D2</f>
        <v>26.599999999999994</v>
      </c>
      <c r="F2" s="9">
        <f>'[1]X°2018 (1000T) Cumul'!F2-'[1]X°2018 (1000T) Cumul'!E2</f>
        <v>20.799999999999997</v>
      </c>
      <c r="G2" s="9">
        <f>'[1]X°2018 (1000T) Cumul'!G2-'[1]X°2018 (1000T) Cumul'!F2</f>
        <v>14.200000000000003</v>
      </c>
      <c r="H2" s="9">
        <f>'[1]X°2018 (1000T) Cumul'!H2-'[1]X°2018 (1000T) Cumul'!G2</f>
        <v>12.699999999999989</v>
      </c>
      <c r="I2" s="9">
        <f>'[1]X°2018 (1000T) Cumul'!I2-'[1]X°2018 (1000T) Cumul'!H2</f>
        <v>12.100000000000023</v>
      </c>
      <c r="J2" s="9">
        <f>'[1]X°2018 (1000T) Cumul'!J2-'[1]X°2018 (1000T) Cumul'!I2</f>
        <v>10.099999999999994</v>
      </c>
      <c r="K2" s="9">
        <f>'[1]X°2018 (1000T) Cumul'!K2-'[1]X°2018 (1000T) Cumul'!J2</f>
        <v>13.5</v>
      </c>
      <c r="L2" s="9">
        <f>'[1]X°2018 (1000T) Cumul'!L2-'[1]X°2018 (1000T) Cumul'!K2</f>
        <v>17.799999999999983</v>
      </c>
      <c r="M2">
        <v>21.200000000000017</v>
      </c>
      <c r="N2" s="9"/>
    </row>
    <row r="3" spans="1:14" x14ac:dyDescent="0.25">
      <c r="A3" s="1" t="s">
        <v>0</v>
      </c>
      <c r="B3" s="8">
        <f>'[1]X°2018 (1000T) Cumul'!B3</f>
        <v>1.4</v>
      </c>
      <c r="C3" s="9">
        <f>'[1]X°2018 (1000T) Cumul'!C3-'[1]X°2018 (1000T) Cumul'!B3</f>
        <v>1.5</v>
      </c>
      <c r="D3" s="9">
        <f>'[1]X°2018 (1000T) Cumul'!D3-'[1]X°2018 (1000T) Cumul'!C3</f>
        <v>1.8000000000000003</v>
      </c>
      <c r="E3" s="9">
        <f>'[1]X°2018 (1000T) Cumul'!E3-'[1]X°2018 (1000T) Cumul'!D3</f>
        <v>1.5999999999999996</v>
      </c>
      <c r="F3" s="9">
        <f>'[1]X°2018 (1000T) Cumul'!F3-'[1]X°2018 (1000T) Cumul'!E3</f>
        <v>1.8999999999999995</v>
      </c>
      <c r="G3" s="9">
        <f>'[1]X°2018 (1000T) Cumul'!G3-'[1]X°2018 (1000T) Cumul'!F3</f>
        <v>1.5</v>
      </c>
      <c r="H3" s="9">
        <f>'[1]X°2018 (1000T) Cumul'!H3-'[1]X°2018 (1000T) Cumul'!G3</f>
        <v>3.5</v>
      </c>
      <c r="I3" s="9">
        <f>'[1]X°2018 (1000T) Cumul'!I3-'[1]X°2018 (1000T) Cumul'!H3</f>
        <v>1.4000000000000004</v>
      </c>
      <c r="J3" s="9">
        <f>'[1]X°2018 (1000T) Cumul'!J3-'[1]X°2018 (1000T) Cumul'!I3</f>
        <v>1.4000000000000004</v>
      </c>
      <c r="K3" s="9">
        <f>'[1]X°2018 (1000T) Cumul'!K3-'[1]X°2018 (1000T) Cumul'!J3</f>
        <v>2.1999999999999993</v>
      </c>
      <c r="L3" s="9">
        <f>'[1]X°2018 (1000T) Cumul'!L3-'[1]X°2018 (1000T) Cumul'!K3</f>
        <v>2.4000000000000021</v>
      </c>
      <c r="M3">
        <v>2.0999999999999979</v>
      </c>
      <c r="N3" s="9"/>
    </row>
    <row r="4" spans="1:14" x14ac:dyDescent="0.25">
      <c r="A4" s="1" t="s">
        <v>1</v>
      </c>
      <c r="B4" s="8">
        <f>'[1]X°2018 (1000T) Cumul'!B4</f>
        <v>14.2</v>
      </c>
      <c r="C4" s="9">
        <f>'[1]X°2018 (1000T) Cumul'!C4-'[1]X°2018 (1000T) Cumul'!B4</f>
        <v>14.5</v>
      </c>
      <c r="D4" s="9">
        <f>'[1]X°2018 (1000T) Cumul'!D4-'[1]X°2018 (1000T) Cumul'!C4</f>
        <v>16.099999999999998</v>
      </c>
      <c r="E4" s="9">
        <f>'[1]X°2018 (1000T) Cumul'!E4-'[1]X°2018 (1000T) Cumul'!D4</f>
        <v>19.700000000000003</v>
      </c>
      <c r="F4" s="9">
        <f>'[1]X°2018 (1000T) Cumul'!F4-'[1]X°2018 (1000T) Cumul'!E4</f>
        <v>12.799999999999997</v>
      </c>
      <c r="G4" s="9">
        <f>'[1]X°2018 (1000T) Cumul'!G4-'[1]X°2018 (1000T) Cumul'!F4</f>
        <v>5.2999999999999972</v>
      </c>
      <c r="H4" s="9">
        <f>'[1]X°2018 (1000T) Cumul'!H4-'[1]X°2018 (1000T) Cumul'!G4</f>
        <v>4.6000000000000085</v>
      </c>
      <c r="I4" s="9">
        <f>'[1]X°2018 (1000T) Cumul'!I4-'[1]X°2018 (1000T) Cumul'!H4</f>
        <v>3.3999999999999915</v>
      </c>
      <c r="J4" s="9">
        <f>'[1]X°2018 (1000T) Cumul'!J4-'[1]X°2018 (1000T) Cumul'!I4</f>
        <v>3.7000000000000028</v>
      </c>
      <c r="K4" s="9">
        <f>'[1]X°2018 (1000T) Cumul'!K4-'[1]X°2018 (1000T) Cumul'!J4</f>
        <v>6.2000000000000028</v>
      </c>
      <c r="L4" s="9">
        <f>'[1]X°2018 (1000T) Cumul'!L4-'[1]X°2018 (1000T) Cumul'!K4</f>
        <v>11.299999999999997</v>
      </c>
      <c r="M4">
        <v>12.200000000000003</v>
      </c>
      <c r="N4" s="9"/>
    </row>
    <row r="5" spans="1:14" x14ac:dyDescent="0.25">
      <c r="A5" s="1" t="s">
        <v>2</v>
      </c>
      <c r="B5" s="8">
        <f>'[1]X°2018 (1000T) Cumul'!B5</f>
        <v>3</v>
      </c>
      <c r="C5" s="9">
        <f>'[1]X°2018 (1000T) Cumul'!C5-'[1]X°2018 (1000T) Cumul'!B5</f>
        <v>2.8</v>
      </c>
      <c r="D5" s="9">
        <f>'[1]X°2018 (1000T) Cumul'!D5-'[1]X°2018 (1000T) Cumul'!C5</f>
        <v>4.0000000000000009</v>
      </c>
      <c r="E5" s="9">
        <f>'[1]X°2018 (1000T) Cumul'!E5-'[1]X°2018 (1000T) Cumul'!D5</f>
        <v>1.6999999999999993</v>
      </c>
      <c r="F5" s="9">
        <f>'[1]X°2018 (1000T) Cumul'!F5-'[1]X°2018 (1000T) Cumul'!E5</f>
        <v>1.1999999999999993</v>
      </c>
      <c r="G5" s="9">
        <f>'[1]X°2018 (1000T) Cumul'!G5-'[1]X°2018 (1000T) Cumul'!F5</f>
        <v>7.3000000000000007</v>
      </c>
      <c r="H5" s="9">
        <f>'[1]X°2018 (1000T) Cumul'!H5-'[1]X°2018 (1000T) Cumul'!G5</f>
        <v>-6.6</v>
      </c>
      <c r="I5" s="9">
        <f>'[1]X°2018 (1000T) Cumul'!I5-'[1]X°2018 (1000T) Cumul'!H5</f>
        <v>9.9999999999999645E-2</v>
      </c>
      <c r="J5" s="9">
        <f>'[1]X°2018 (1000T) Cumul'!J5-'[1]X°2018 (1000T) Cumul'!I5</f>
        <v>0</v>
      </c>
      <c r="K5" s="9">
        <f>'[1]X°2018 (1000T) Cumul'!K5-'[1]X°2018 (1000T) Cumul'!J5</f>
        <v>9.9999999999999645E-2</v>
      </c>
      <c r="L5" s="9">
        <f>'[1]X°2018 (1000T) Cumul'!L5-'[1]X°2018 (1000T) Cumul'!K5</f>
        <v>0.20000000000000107</v>
      </c>
      <c r="M5">
        <v>9.9999999999999645E-2</v>
      </c>
      <c r="N5" s="9"/>
    </row>
    <row r="6" spans="1:14" x14ac:dyDescent="0.25">
      <c r="A6" s="2" t="s">
        <v>3</v>
      </c>
      <c r="B6" s="8">
        <f>'[1]X°2018 (1000T) Cumul'!B6</f>
        <v>3.1</v>
      </c>
      <c r="C6" s="9">
        <f>'[1]X°2018 (1000T) Cumul'!C6-'[1]X°2018 (1000T) Cumul'!B6</f>
        <v>1.443737</v>
      </c>
      <c r="D6" s="9">
        <f>'[1]X°2018 (1000T) Cumul'!D6-'[1]X°2018 (1000T) Cumul'!C6</f>
        <v>4.5573639999999997</v>
      </c>
      <c r="E6" s="9">
        <f>'[1]X°2018 (1000T) Cumul'!E6-'[1]X°2018 (1000T) Cumul'!D6</f>
        <v>3.1649600000000007</v>
      </c>
      <c r="F6" s="9">
        <f>'[1]X°2018 (1000T) Cumul'!F6-'[1]X°2018 (1000T) Cumul'!E6</f>
        <v>2.5780149999999988</v>
      </c>
      <c r="G6" s="9">
        <f>'[1]X°2018 (1000T) Cumul'!G6-'[1]X°2018 (1000T) Cumul'!F6</f>
        <v>1.9555340000000019</v>
      </c>
      <c r="H6" s="9">
        <f>'[1]X°2018 (1000T) Cumul'!H6-'[1]X°2018 (1000T) Cumul'!G6</f>
        <v>1.507954999999999</v>
      </c>
      <c r="I6" s="9">
        <f>'[1]X°2018 (1000T) Cumul'!I6-'[1]X°2018 (1000T) Cumul'!H6</f>
        <v>0.36032799999999909</v>
      </c>
      <c r="J6" s="9">
        <f>'[1]X°2018 (1000T) Cumul'!J6-'[1]X°2018 (1000T) Cumul'!I6</f>
        <v>0.68444799999999972</v>
      </c>
      <c r="K6" s="9">
        <f>'[1]X°2018 (1000T) Cumul'!K6-'[1]X°2018 (1000T) Cumul'!J6</f>
        <v>1.1466139999999996</v>
      </c>
      <c r="L6" s="9">
        <f>'[1]X°2018 (1000T) Cumul'!L6-'[1]X°2018 (1000T) Cumul'!K6</f>
        <v>0.39463200000000143</v>
      </c>
      <c r="M6" s="9">
        <v>1.373151</v>
      </c>
      <c r="N6" s="9"/>
    </row>
  </sheetData>
  <pageMargins left="0.25" right="0.25" top="0.75" bottom="0.75" header="0.3" footer="0.3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X°2018 (1000T)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2019-01-10T15:21:45Z</dcterms:modified>
</cp:coreProperties>
</file>