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Gafsa\2025\"/>
    </mc:Choice>
  </mc:AlternateContent>
  <xr:revisionPtr revIDLastSave="0" documentId="13_ncr:1_{F574CB6D-3503-4F0F-8284-3FB4DF00E8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3" i="1" l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  <c r="R13" i="1" l="1"/>
  <c r="S13" i="1"/>
</calcChain>
</file>

<file path=xl/sharedStrings.xml><?xml version="1.0" encoding="utf-8"?>
<sst xmlns="http://schemas.openxmlformats.org/spreadsheetml/2006/main" count="31" uniqueCount="31">
  <si>
    <t>قفصة الشمالية</t>
  </si>
  <si>
    <t>قفصة الجنوبية</t>
  </si>
  <si>
    <t>القصر</t>
  </si>
  <si>
    <t>سيدي عيش</t>
  </si>
  <si>
    <t>السند</t>
  </si>
  <si>
    <t>بلخير</t>
  </si>
  <si>
    <t>الرديف</t>
  </si>
  <si>
    <t>المتلوي</t>
  </si>
  <si>
    <t>أم العرائس</t>
  </si>
  <si>
    <t>القطار</t>
  </si>
  <si>
    <t>المظيلة</t>
  </si>
  <si>
    <t>كامل الولاية</t>
  </si>
  <si>
    <t>Année</t>
  </si>
  <si>
    <t>Délégation</t>
  </si>
  <si>
    <t>Superficie olivier à huile_ha</t>
  </si>
  <si>
    <t>Nombre de pieds</t>
  </si>
  <si>
    <t xml:space="preserve">Production de l'huile d'olive_tonne </t>
  </si>
  <si>
    <t>Superficie d'olivier de table_ha</t>
  </si>
  <si>
    <t>Production d'olivier de table_tonne</t>
  </si>
  <si>
    <t>Superficie des dattes_ha</t>
  </si>
  <si>
    <t>Production des dattes_tonne</t>
  </si>
  <si>
    <t>Superficie d'amandier_ha</t>
  </si>
  <si>
    <t>Production d'amandier_tonne</t>
  </si>
  <si>
    <t>Superficie de pistache_ha</t>
  </si>
  <si>
    <t>Production de pistache_tonne</t>
  </si>
  <si>
    <t>Superficie de figuier_ha</t>
  </si>
  <si>
    <t>Production de figuier_tonne</t>
  </si>
  <si>
    <t>Autres_Superficie (ha)</t>
  </si>
  <si>
    <t>Autres_Production (tonne)</t>
  </si>
  <si>
    <t>Superficie totale_ha</t>
  </si>
  <si>
    <t>Production totale_tonne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</si>
</sst>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wrapText="1"/>
    </xf>
    <xf numFmtId="3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 wrapText="1"/>
    </xf>
    <xf numFmtId="0" fontId="4" fillId="2" borderId="1" xfId="0" applyFont="1" applyFill="1" applyBorder="1" applyAlignment="1">
      <alignment horizontal="right" vertical="center" wrapText="1"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E19" sqref="E19"/>
    </sheetView>
  </sheetViews>
  <sheetFormatPr baseColWidth="10" defaultColWidth="9.140625" defaultRowHeight="15" x14ac:dyDescent="0.25"/>
  <cols>
    <col min="1" max="1" width="7.5703125" customWidth="1"/>
    <col min="2" max="2" width="16.140625" customWidth="1"/>
    <col min="3" max="3" width="15.85546875" customWidth="1"/>
    <col min="4" max="4" width="17.42578125" customWidth="1"/>
    <col min="5" max="5" width="22.140625" customWidth="1"/>
    <col min="6" max="6" width="19.7109375" customWidth="1"/>
    <col min="7" max="7" width="18" customWidth="1"/>
    <col min="8" max="8" width="14.42578125" customWidth="1"/>
    <col min="9" max="9" width="14.28515625" customWidth="1"/>
    <col min="10" max="10" width="13.85546875" customWidth="1"/>
    <col min="11" max="11" width="16.5703125" customWidth="1"/>
    <col min="12" max="12" width="12.7109375" customWidth="1"/>
    <col min="13" max="13" width="14.140625" customWidth="1"/>
    <col min="14" max="14" width="13.28515625" customWidth="1"/>
    <col min="15" max="15" width="13.7109375" customWidth="1"/>
    <col min="16" max="16" width="17.28515625" customWidth="1"/>
    <col min="17" max="17" width="17.5703125" customWidth="1"/>
    <col min="18" max="18" width="16.42578125" customWidth="1"/>
    <col min="19" max="19" width="13.85546875" customWidth="1"/>
  </cols>
  <sheetData>
    <row r="1" spans="1:19" ht="32.25" customHeight="1" x14ac:dyDescent="0.25">
      <c r="A1" s="5" t="s">
        <v>12</v>
      </c>
      <c r="B1" s="5" t="s">
        <v>13</v>
      </c>
      <c r="C1" s="5" t="s">
        <v>14</v>
      </c>
      <c r="D1" s="5" t="s">
        <v>15</v>
      </c>
      <c r="E1" s="10" t="s">
        <v>16</v>
      </c>
      <c r="F1" s="10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1" t="s">
        <v>26</v>
      </c>
      <c r="P1" s="7" t="s">
        <v>27</v>
      </c>
      <c r="Q1" s="7" t="s">
        <v>28</v>
      </c>
      <c r="R1" s="1" t="s">
        <v>29</v>
      </c>
      <c r="S1" s="1" t="s">
        <v>30</v>
      </c>
    </row>
    <row r="2" spans="1:19" ht="24" customHeight="1" x14ac:dyDescent="0.25">
      <c r="A2" s="6">
        <v>2023</v>
      </c>
      <c r="B2" s="8" t="s">
        <v>0</v>
      </c>
      <c r="C2" s="2">
        <v>13550</v>
      </c>
      <c r="D2" s="2">
        <v>1257000</v>
      </c>
      <c r="E2" s="2">
        <v>2110</v>
      </c>
      <c r="F2" s="2">
        <v>510</v>
      </c>
      <c r="G2" s="2">
        <v>420</v>
      </c>
      <c r="H2" s="2">
        <v>6</v>
      </c>
      <c r="I2" s="2">
        <v>11</v>
      </c>
      <c r="J2" s="2">
        <v>3900</v>
      </c>
      <c r="K2" s="2">
        <v>1700</v>
      </c>
      <c r="L2" s="2">
        <v>4100</v>
      </c>
      <c r="M2" s="2">
        <v>116</v>
      </c>
      <c r="N2" s="2">
        <v>45</v>
      </c>
      <c r="O2" s="2">
        <v>5</v>
      </c>
      <c r="P2" s="2">
        <v>210</v>
      </c>
      <c r="Q2" s="2">
        <v>315</v>
      </c>
      <c r="R2" s="2">
        <f>SUM(C2+F2+H2+J2+L2+N2+P2)</f>
        <v>22321</v>
      </c>
      <c r="S2" s="2">
        <f>SUM(E2+G2+I2+K2+M2+O2+Q2)</f>
        <v>4677</v>
      </c>
    </row>
    <row r="3" spans="1:19" ht="24" customHeight="1" x14ac:dyDescent="0.25">
      <c r="A3" s="6">
        <v>2023</v>
      </c>
      <c r="B3" s="8" t="s">
        <v>1</v>
      </c>
      <c r="C3" s="2">
        <v>7640</v>
      </c>
      <c r="D3" s="2">
        <v>538125</v>
      </c>
      <c r="E3" s="2">
        <v>1210</v>
      </c>
      <c r="F3" s="2">
        <v>390</v>
      </c>
      <c r="G3" s="2">
        <v>340</v>
      </c>
      <c r="H3" s="2">
        <v>288</v>
      </c>
      <c r="I3" s="2">
        <v>2100</v>
      </c>
      <c r="J3" s="2">
        <v>2260</v>
      </c>
      <c r="K3" s="2">
        <v>1010</v>
      </c>
      <c r="L3" s="2">
        <v>3910</v>
      </c>
      <c r="M3" s="2">
        <v>163</v>
      </c>
      <c r="N3" s="2">
        <v>280</v>
      </c>
      <c r="O3" s="2">
        <v>22</v>
      </c>
      <c r="P3" s="2">
        <v>615</v>
      </c>
      <c r="Q3" s="2">
        <v>920</v>
      </c>
      <c r="R3" s="2">
        <f t="shared" ref="R3:R11" si="0">SUM(C3+F3+H3+J3+L3+N3+P3)</f>
        <v>15383</v>
      </c>
      <c r="S3" s="2">
        <f t="shared" ref="S3:S11" si="1">SUM(E3+G3+I3+K3+M3+O3+Q3)</f>
        <v>5765</v>
      </c>
    </row>
    <row r="4" spans="1:19" ht="24" customHeight="1" x14ac:dyDescent="0.25">
      <c r="A4" s="6">
        <v>2023</v>
      </c>
      <c r="B4" s="8" t="s">
        <v>2</v>
      </c>
      <c r="C4" s="2">
        <v>1850</v>
      </c>
      <c r="D4" s="2">
        <v>71600</v>
      </c>
      <c r="E4" s="2">
        <v>340</v>
      </c>
      <c r="F4" s="2">
        <v>350</v>
      </c>
      <c r="G4" s="2">
        <v>300</v>
      </c>
      <c r="H4" s="2">
        <v>280</v>
      </c>
      <c r="I4" s="2">
        <v>1300</v>
      </c>
      <c r="J4" s="2">
        <v>180</v>
      </c>
      <c r="K4" s="2">
        <v>90</v>
      </c>
      <c r="L4" s="2">
        <v>85</v>
      </c>
      <c r="M4" s="2">
        <v>3</v>
      </c>
      <c r="N4" s="2">
        <v>5</v>
      </c>
      <c r="O4" s="2">
        <v>1</v>
      </c>
      <c r="P4" s="2">
        <v>300</v>
      </c>
      <c r="Q4" s="2">
        <v>440</v>
      </c>
      <c r="R4" s="2">
        <f t="shared" si="0"/>
        <v>3050</v>
      </c>
      <c r="S4" s="2">
        <f t="shared" si="1"/>
        <v>2474</v>
      </c>
    </row>
    <row r="5" spans="1:19" ht="24" customHeight="1" x14ac:dyDescent="0.25">
      <c r="A5" s="6">
        <v>2023</v>
      </c>
      <c r="B5" s="8" t="s">
        <v>3</v>
      </c>
      <c r="C5" s="2">
        <v>12800</v>
      </c>
      <c r="D5" s="2">
        <v>340750</v>
      </c>
      <c r="E5" s="2">
        <v>2010</v>
      </c>
      <c r="F5" s="2">
        <v>470</v>
      </c>
      <c r="G5" s="2">
        <v>480</v>
      </c>
      <c r="H5" s="2">
        <v>0</v>
      </c>
      <c r="I5" s="2">
        <v>0</v>
      </c>
      <c r="J5" s="2">
        <v>3730</v>
      </c>
      <c r="K5" s="2">
        <v>1850</v>
      </c>
      <c r="L5" s="2">
        <v>2940</v>
      </c>
      <c r="M5" s="2">
        <v>115</v>
      </c>
      <c r="N5" s="2">
        <v>0</v>
      </c>
      <c r="O5" s="2">
        <v>0</v>
      </c>
      <c r="P5" s="2">
        <v>240</v>
      </c>
      <c r="Q5" s="2">
        <v>360</v>
      </c>
      <c r="R5" s="2">
        <f t="shared" si="0"/>
        <v>20180</v>
      </c>
      <c r="S5" s="2">
        <f t="shared" si="1"/>
        <v>4815</v>
      </c>
    </row>
    <row r="6" spans="1:19" ht="24" customHeight="1" x14ac:dyDescent="0.25">
      <c r="A6" s="6">
        <v>2023</v>
      </c>
      <c r="B6" s="8" t="s">
        <v>4</v>
      </c>
      <c r="C6" s="2">
        <v>14620</v>
      </c>
      <c r="D6" s="2">
        <v>761250</v>
      </c>
      <c r="E6" s="2">
        <v>2420</v>
      </c>
      <c r="F6" s="2">
        <v>590</v>
      </c>
      <c r="G6" s="2">
        <v>570</v>
      </c>
      <c r="H6" s="2">
        <v>0</v>
      </c>
      <c r="I6" s="2">
        <v>0</v>
      </c>
      <c r="J6" s="2">
        <v>2950</v>
      </c>
      <c r="K6" s="2">
        <v>1460</v>
      </c>
      <c r="L6" s="2">
        <v>3840</v>
      </c>
      <c r="M6" s="2">
        <v>182</v>
      </c>
      <c r="N6" s="2">
        <v>50</v>
      </c>
      <c r="O6" s="2">
        <v>5</v>
      </c>
      <c r="P6" s="2">
        <v>120</v>
      </c>
      <c r="Q6" s="2">
        <v>180</v>
      </c>
      <c r="R6" s="2">
        <f t="shared" si="0"/>
        <v>22170</v>
      </c>
      <c r="S6" s="2">
        <f t="shared" si="1"/>
        <v>4817</v>
      </c>
    </row>
    <row r="7" spans="1:19" ht="24" customHeight="1" x14ac:dyDescent="0.25">
      <c r="A7" s="6">
        <v>2023</v>
      </c>
      <c r="B7" s="8" t="s">
        <v>5</v>
      </c>
      <c r="C7" s="2">
        <v>7450</v>
      </c>
      <c r="D7" s="2">
        <v>295000</v>
      </c>
      <c r="E7" s="2">
        <v>840</v>
      </c>
      <c r="F7" s="2">
        <v>15</v>
      </c>
      <c r="G7" s="2">
        <v>14</v>
      </c>
      <c r="H7" s="2">
        <v>0</v>
      </c>
      <c r="I7" s="2">
        <v>0</v>
      </c>
      <c r="J7" s="2">
        <v>160</v>
      </c>
      <c r="K7" s="2">
        <v>75</v>
      </c>
      <c r="L7" s="2">
        <v>135</v>
      </c>
      <c r="M7" s="3">
        <v>4</v>
      </c>
      <c r="N7" s="2">
        <v>120</v>
      </c>
      <c r="O7" s="2">
        <v>12</v>
      </c>
      <c r="P7" s="2">
        <v>11</v>
      </c>
      <c r="Q7" s="2">
        <v>17</v>
      </c>
      <c r="R7" s="2">
        <f t="shared" si="0"/>
        <v>7891</v>
      </c>
      <c r="S7" s="2">
        <f t="shared" si="1"/>
        <v>962</v>
      </c>
    </row>
    <row r="8" spans="1:19" ht="24" customHeight="1" x14ac:dyDescent="0.25">
      <c r="A8" s="6">
        <v>2023</v>
      </c>
      <c r="B8" s="8" t="s">
        <v>6</v>
      </c>
      <c r="C8" s="2">
        <v>170</v>
      </c>
      <c r="D8" s="2">
        <v>4400</v>
      </c>
      <c r="E8" s="2">
        <v>70</v>
      </c>
      <c r="F8" s="2">
        <v>95</v>
      </c>
      <c r="G8" s="2">
        <v>85</v>
      </c>
      <c r="H8" s="2">
        <v>760</v>
      </c>
      <c r="I8" s="2">
        <v>3582</v>
      </c>
      <c r="J8" s="2">
        <v>10</v>
      </c>
      <c r="K8" s="2">
        <v>3</v>
      </c>
      <c r="L8" s="2">
        <v>5</v>
      </c>
      <c r="M8" s="3">
        <v>3</v>
      </c>
      <c r="N8" s="2">
        <v>10</v>
      </c>
      <c r="O8" s="2">
        <v>1</v>
      </c>
      <c r="P8" s="2">
        <v>180</v>
      </c>
      <c r="Q8" s="2">
        <v>270</v>
      </c>
      <c r="R8" s="2">
        <f t="shared" si="0"/>
        <v>1230</v>
      </c>
      <c r="S8" s="2">
        <f t="shared" si="1"/>
        <v>4014</v>
      </c>
    </row>
    <row r="9" spans="1:19" ht="24" customHeight="1" x14ac:dyDescent="0.25">
      <c r="A9" s="6">
        <v>2023</v>
      </c>
      <c r="B9" s="8" t="s">
        <v>7</v>
      </c>
      <c r="C9" s="2">
        <v>150</v>
      </c>
      <c r="D9" s="2">
        <v>3500</v>
      </c>
      <c r="E9" s="2">
        <v>60</v>
      </c>
      <c r="F9" s="2">
        <v>45</v>
      </c>
      <c r="G9" s="2">
        <v>40</v>
      </c>
      <c r="H9" s="2">
        <v>384</v>
      </c>
      <c r="I9" s="2">
        <v>2100</v>
      </c>
      <c r="J9" s="2">
        <v>50</v>
      </c>
      <c r="K9" s="2">
        <v>40</v>
      </c>
      <c r="L9" s="2">
        <v>5</v>
      </c>
      <c r="M9" s="3">
        <v>3</v>
      </c>
      <c r="N9" s="2">
        <v>0</v>
      </c>
      <c r="O9" s="2">
        <v>0</v>
      </c>
      <c r="P9" s="2">
        <v>70</v>
      </c>
      <c r="Q9" s="2">
        <v>105</v>
      </c>
      <c r="R9" s="2">
        <f t="shared" si="0"/>
        <v>704</v>
      </c>
      <c r="S9" s="2">
        <f t="shared" si="1"/>
        <v>2348</v>
      </c>
    </row>
    <row r="10" spans="1:19" ht="24" customHeight="1" x14ac:dyDescent="0.25">
      <c r="A10" s="6">
        <v>2023</v>
      </c>
      <c r="B10" s="8" t="s">
        <v>8</v>
      </c>
      <c r="C10" s="2">
        <v>690</v>
      </c>
      <c r="D10" s="2">
        <v>6500</v>
      </c>
      <c r="E10" s="2">
        <v>120</v>
      </c>
      <c r="F10" s="2">
        <v>245</v>
      </c>
      <c r="G10" s="2">
        <v>200</v>
      </c>
      <c r="H10" s="2">
        <v>23</v>
      </c>
      <c r="I10" s="2">
        <v>94</v>
      </c>
      <c r="J10" s="2">
        <v>150</v>
      </c>
      <c r="K10" s="2">
        <v>85</v>
      </c>
      <c r="L10" s="2">
        <v>740</v>
      </c>
      <c r="M10" s="2">
        <v>90</v>
      </c>
      <c r="N10" s="2">
        <v>0</v>
      </c>
      <c r="O10" s="2">
        <v>0</v>
      </c>
      <c r="P10" s="2">
        <v>20</v>
      </c>
      <c r="Q10" s="2">
        <v>30</v>
      </c>
      <c r="R10" s="2">
        <f t="shared" si="0"/>
        <v>1868</v>
      </c>
      <c r="S10" s="2">
        <f t="shared" si="1"/>
        <v>619</v>
      </c>
    </row>
    <row r="11" spans="1:19" ht="24" customHeight="1" x14ac:dyDescent="0.25">
      <c r="A11" s="6">
        <v>2023</v>
      </c>
      <c r="B11" s="8" t="s">
        <v>9</v>
      </c>
      <c r="C11" s="2">
        <v>4580</v>
      </c>
      <c r="D11" s="2">
        <v>450000</v>
      </c>
      <c r="E11" s="2">
        <v>820</v>
      </c>
      <c r="F11" s="2">
        <v>70</v>
      </c>
      <c r="G11" s="2">
        <v>66</v>
      </c>
      <c r="H11" s="2">
        <v>530</v>
      </c>
      <c r="I11" s="2">
        <v>1920</v>
      </c>
      <c r="J11" s="2">
        <v>560</v>
      </c>
      <c r="K11" s="2">
        <v>87</v>
      </c>
      <c r="L11" s="2">
        <v>140</v>
      </c>
      <c r="M11" s="2">
        <v>10</v>
      </c>
      <c r="N11" s="2">
        <v>20</v>
      </c>
      <c r="O11" s="2">
        <v>5</v>
      </c>
      <c r="P11" s="2">
        <v>100</v>
      </c>
      <c r="Q11" s="2">
        <v>145</v>
      </c>
      <c r="R11" s="2">
        <f t="shared" si="0"/>
        <v>6000</v>
      </c>
      <c r="S11" s="2">
        <f t="shared" si="1"/>
        <v>3053</v>
      </c>
    </row>
    <row r="12" spans="1:19" ht="24" customHeight="1" x14ac:dyDescent="0.25">
      <c r="A12" s="6">
        <v>2023</v>
      </c>
      <c r="B12" s="8" t="s">
        <v>10</v>
      </c>
      <c r="C12" s="4">
        <v>0</v>
      </c>
      <c r="D12" s="4">
        <v>0</v>
      </c>
      <c r="E12" s="4">
        <v>0</v>
      </c>
      <c r="F12" s="2"/>
      <c r="G12" s="2"/>
      <c r="H12" s="2"/>
      <c r="I12" s="2"/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2"/>
      <c r="Q12" s="2"/>
      <c r="R12" s="2"/>
      <c r="S12" s="2"/>
    </row>
    <row r="13" spans="1:19" ht="24" customHeight="1" x14ac:dyDescent="0.25">
      <c r="A13" s="6">
        <v>2023</v>
      </c>
      <c r="B13" s="9" t="s">
        <v>11</v>
      </c>
      <c r="C13" s="4">
        <f>SUM(C2:C12)</f>
        <v>63500</v>
      </c>
      <c r="D13" s="4">
        <f t="shared" ref="D13:S13" si="2">SUM(D2:D12)</f>
        <v>3728125</v>
      </c>
      <c r="E13" s="4">
        <f t="shared" si="2"/>
        <v>10000</v>
      </c>
      <c r="F13" s="4">
        <f t="shared" si="2"/>
        <v>2780</v>
      </c>
      <c r="G13" s="4">
        <f t="shared" si="2"/>
        <v>2515</v>
      </c>
      <c r="H13" s="4">
        <f t="shared" si="2"/>
        <v>2271</v>
      </c>
      <c r="I13" s="4">
        <f t="shared" si="2"/>
        <v>11107</v>
      </c>
      <c r="J13" s="4">
        <f t="shared" si="2"/>
        <v>13950</v>
      </c>
      <c r="K13" s="4">
        <f t="shared" si="2"/>
        <v>6400</v>
      </c>
      <c r="L13" s="4">
        <f t="shared" si="2"/>
        <v>15900</v>
      </c>
      <c r="M13" s="4">
        <f t="shared" si="2"/>
        <v>689</v>
      </c>
      <c r="N13" s="4">
        <f t="shared" si="2"/>
        <v>530</v>
      </c>
      <c r="O13" s="4">
        <f t="shared" si="2"/>
        <v>51</v>
      </c>
      <c r="P13" s="4">
        <f t="shared" si="2"/>
        <v>1866</v>
      </c>
      <c r="Q13" s="4">
        <f t="shared" si="2"/>
        <v>2782</v>
      </c>
      <c r="R13" s="4">
        <f t="shared" si="2"/>
        <v>100797</v>
      </c>
      <c r="S13" s="4">
        <f t="shared" si="2"/>
        <v>33544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</dc:creator>
  <cp:lastModifiedBy>Noura Ferjani</cp:lastModifiedBy>
  <dcterms:created xsi:type="dcterms:W3CDTF">2015-06-05T18:19:34Z</dcterms:created>
  <dcterms:modified xsi:type="dcterms:W3CDTF">2025-10-13T13:35:17Z</dcterms:modified>
</cp:coreProperties>
</file>