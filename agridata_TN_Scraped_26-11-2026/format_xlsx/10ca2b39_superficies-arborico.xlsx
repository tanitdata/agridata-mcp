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Bizerte\2025\"/>
    </mc:Choice>
  </mc:AlternateContent>
  <bookViews>
    <workbookView xWindow="0" yWindow="0" windowWidth="28800" windowHeight="12210"/>
  </bookViews>
  <sheets>
    <sheet name="Feuil1" sheetId="1" r:id="rId1"/>
  </sheets>
  <calcPr calcId="162913"/>
</workbook>
</file>

<file path=xl/calcChain.xml><?xml version="1.0" encoding="utf-8"?>
<calcChain xmlns="http://schemas.openxmlformats.org/spreadsheetml/2006/main">
  <c r="F15" i="1" l="1"/>
  <c r="E15" i="1"/>
  <c r="D15" i="1"/>
  <c r="C15" i="1"/>
  <c r="F29" i="1" l="1"/>
  <c r="E29" i="1"/>
  <c r="D29" i="1"/>
  <c r="C29" i="1"/>
  <c r="F43" i="1" l="1"/>
  <c r="E43" i="1"/>
  <c r="D43" i="1"/>
  <c r="C43" i="1"/>
  <c r="F57" i="1" l="1"/>
  <c r="E57" i="1"/>
  <c r="D57" i="1"/>
  <c r="C57" i="1"/>
</calcChain>
</file>

<file path=xl/sharedStrings.xml><?xml version="1.0" encoding="utf-8"?>
<sst xmlns="http://schemas.openxmlformats.org/spreadsheetml/2006/main" count="118" uniqueCount="25">
  <si>
    <t>بنزرت الشمالية</t>
  </si>
  <si>
    <t>بنزرت الجنوبية</t>
  </si>
  <si>
    <t>منزل جميـــل</t>
  </si>
  <si>
    <t>منزل بورقيبة</t>
  </si>
  <si>
    <t>تينجـــــــة</t>
  </si>
  <si>
    <t>ماطــــــر</t>
  </si>
  <si>
    <t>غزالـــــة</t>
  </si>
  <si>
    <t>جوميــــن</t>
  </si>
  <si>
    <t>سجنــــان</t>
  </si>
  <si>
    <t>العاليـــــة</t>
  </si>
  <si>
    <t xml:space="preserve">راس الجبل </t>
  </si>
  <si>
    <t>غار الملــح</t>
  </si>
  <si>
    <t>أوتيــــــــك</t>
  </si>
  <si>
    <t>المجموع :</t>
  </si>
  <si>
    <t>Campagne agricole</t>
  </si>
  <si>
    <t>Délégation</t>
  </si>
  <si>
    <t>2022/2023</t>
  </si>
  <si>
    <t>Production arboricole_Tonne</t>
  </si>
  <si>
    <t>Production Olives à huile _Tonne</t>
  </si>
  <si>
    <t>Production Agrumes_Tonne</t>
  </si>
  <si>
    <t>Production Olives de table_Tonne</t>
  </si>
  <si>
    <t>2021/2022</t>
  </si>
  <si>
    <t>2020/2021</t>
  </si>
  <si>
    <t>2019/2020</t>
  </si>
  <si>
    <t xml:space="preserve">المجموع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</si>
</sst>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indexed="64"/>
      </right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0" borderId="2" xfId="0" applyFont="1" applyFill="1" applyBorder="1" applyAlignment="1">
      <alignment horizontal="center" readingOrder="2"/>
    </xf>
    <xf numFmtId="0" fontId="5" fillId="0" borderId="2" xfId="0" applyFont="1" applyBorder="1" applyAlignment="1">
      <alignment horizontal="center" readingOrder="2"/>
    </xf>
    <xf numFmtId="0" fontId="5" fillId="0" borderId="5" xfId="0" applyFont="1" applyBorder="1" applyAlignment="1">
      <alignment horizontal="center" readingOrder="2"/>
    </xf>
    <xf numFmtId="0" fontId="1" fillId="0" borderId="6" xfId="0" applyFont="1" applyBorder="1"/>
    <xf numFmtId="0" fontId="2" fillId="0" borderId="7" xfId="0" applyFont="1" applyBorder="1" applyAlignment="1">
      <alignment horizontal="center" vertical="center" readingOrder="2"/>
    </xf>
    <xf numFmtId="0" fontId="2" fillId="0" borderId="7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1" fillId="0" borderId="9" xfId="0" applyFont="1" applyBorder="1"/>
    <xf numFmtId="0" fontId="3" fillId="0" borderId="1" xfId="0" applyFont="1" applyBorder="1" applyAlignment="1">
      <alignment readingOrder="2"/>
    </xf>
    <xf numFmtId="0" fontId="3" fillId="0" borderId="1" xfId="0" applyFont="1" applyFill="1" applyBorder="1" applyAlignment="1">
      <alignment readingOrder="2"/>
    </xf>
    <xf numFmtId="1" fontId="3" fillId="0" borderId="1" xfId="0" applyNumberFormat="1" applyFont="1" applyFill="1" applyBorder="1" applyAlignment="1">
      <alignment horizontal="center" readingOrder="2"/>
    </xf>
    <xf numFmtId="0" fontId="3" fillId="0" borderId="1" xfId="0" applyFont="1" applyBorder="1" applyAlignment="1">
      <alignment horizontal="center" readingOrder="2"/>
    </xf>
    <xf numFmtId="0" fontId="3" fillId="0" borderId="10" xfId="0" applyFont="1" applyBorder="1" applyAlignment="1">
      <alignment horizontal="center" readingOrder="2"/>
    </xf>
    <xf numFmtId="1" fontId="4" fillId="0" borderId="1" xfId="0" applyNumberFormat="1" applyFont="1" applyFill="1" applyBorder="1" applyAlignment="1">
      <alignment horizontal="center" readingOrder="2"/>
    </xf>
    <xf numFmtId="0" fontId="1" fillId="0" borderId="11" xfId="0" applyFont="1" applyBorder="1"/>
    <xf numFmtId="0" fontId="2" fillId="0" borderId="2" xfId="0" applyFont="1" applyBorder="1" applyAlignment="1">
      <alignment horizontal="center" readingOrder="2"/>
    </xf>
    <xf numFmtId="0" fontId="1" fillId="0" borderId="12" xfId="0" applyFont="1" applyBorder="1"/>
    <xf numFmtId="0" fontId="3" fillId="0" borderId="13" xfId="0" applyFont="1" applyBorder="1" applyAlignment="1">
      <alignment readingOrder="2"/>
    </xf>
    <xf numFmtId="1" fontId="3" fillId="0" borderId="13" xfId="0" applyNumberFormat="1" applyFont="1" applyFill="1" applyBorder="1" applyAlignment="1">
      <alignment horizontal="center" vertical="center" readingOrder="2"/>
    </xf>
    <xf numFmtId="0" fontId="3" fillId="0" borderId="13" xfId="0" applyFont="1" applyBorder="1" applyAlignment="1">
      <alignment horizontal="center" vertical="center" readingOrder="2"/>
    </xf>
    <xf numFmtId="0" fontId="3" fillId="0" borderId="14" xfId="0" applyFont="1" applyBorder="1" applyAlignment="1">
      <alignment horizontal="center" vertical="center" readingOrder="2"/>
    </xf>
    <xf numFmtId="0" fontId="1" fillId="0" borderId="16" xfId="0" applyFont="1" applyBorder="1"/>
    <xf numFmtId="0" fontId="3" fillId="0" borderId="3" xfId="0" applyFont="1" applyFill="1" applyBorder="1" applyAlignment="1">
      <alignment readingOrder="2"/>
    </xf>
    <xf numFmtId="1" fontId="3" fillId="0" borderId="3" xfId="0" applyNumberFormat="1" applyFont="1" applyFill="1" applyBorder="1" applyAlignment="1">
      <alignment horizontal="center" readingOrder="2"/>
    </xf>
    <xf numFmtId="0" fontId="3" fillId="0" borderId="3" xfId="0" applyFont="1" applyBorder="1" applyAlignment="1">
      <alignment horizontal="center" readingOrder="2"/>
    </xf>
    <xf numFmtId="0" fontId="3" fillId="0" borderId="4" xfId="0" applyFont="1" applyBorder="1" applyAlignment="1">
      <alignment horizontal="center" readingOrder="2"/>
    </xf>
    <xf numFmtId="0" fontId="1" fillId="0" borderId="15" xfId="0" applyFont="1" applyBorder="1"/>
    <xf numFmtId="0" fontId="2" fillId="0" borderId="17" xfId="0" applyFont="1" applyBorder="1" applyAlignment="1">
      <alignment horizontal="center" readingOrder="2"/>
    </xf>
    <xf numFmtId="0" fontId="5" fillId="0" borderId="17" xfId="0" applyFont="1" applyFill="1" applyBorder="1" applyAlignment="1">
      <alignment horizontal="center" readingOrder="2"/>
    </xf>
    <xf numFmtId="0" fontId="5" fillId="0" borderId="17" xfId="0" applyFont="1" applyBorder="1" applyAlignment="1">
      <alignment horizontal="center" readingOrder="2"/>
    </xf>
    <xf numFmtId="1" fontId="3" fillId="0" borderId="1" xfId="0" applyNumberFormat="1" applyFont="1" applyFill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abSelected="1" workbookViewId="0">
      <selection activeCell="H26" sqref="H26"/>
    </sheetView>
  </sheetViews>
  <sheetFormatPr baseColWidth="10" defaultRowHeight="15" x14ac:dyDescent="0.25"/>
  <cols>
    <col min="1" max="1" width="21" customWidth="1"/>
    <col min="2" max="2" width="17.140625" customWidth="1"/>
    <col min="3" max="3" width="32.85546875" customWidth="1"/>
    <col min="4" max="4" width="36.42578125" customWidth="1"/>
    <col min="5" max="5" width="24.140625" customWidth="1"/>
    <col min="6" max="6" width="31.140625" customWidth="1"/>
  </cols>
  <sheetData>
    <row r="1" spans="1:6" ht="32.25" thickTop="1" x14ac:dyDescent="0.25">
      <c r="A1" s="4" t="s">
        <v>14</v>
      </c>
      <c r="B1" s="5" t="s">
        <v>15</v>
      </c>
      <c r="C1" s="6" t="s">
        <v>17</v>
      </c>
      <c r="D1" s="6" t="s">
        <v>20</v>
      </c>
      <c r="E1" s="6" t="s">
        <v>18</v>
      </c>
      <c r="F1" s="7" t="s">
        <v>19</v>
      </c>
    </row>
    <row r="2" spans="1:6" ht="15.75" x14ac:dyDescent="0.25">
      <c r="A2" s="8" t="s">
        <v>23</v>
      </c>
      <c r="B2" s="9" t="s">
        <v>0</v>
      </c>
      <c r="C2" s="31">
        <v>2000</v>
      </c>
      <c r="D2" s="32">
        <v>24</v>
      </c>
      <c r="E2" s="32">
        <v>565</v>
      </c>
      <c r="F2" s="33">
        <v>350</v>
      </c>
    </row>
    <row r="3" spans="1:6" ht="15.75" x14ac:dyDescent="0.25">
      <c r="A3" s="8" t="s">
        <v>23</v>
      </c>
      <c r="B3" s="10" t="s">
        <v>1</v>
      </c>
      <c r="C3" s="31"/>
      <c r="D3" s="32"/>
      <c r="E3" s="32"/>
      <c r="F3" s="33"/>
    </row>
    <row r="4" spans="1:6" ht="15.75" x14ac:dyDescent="0.25">
      <c r="A4" s="8" t="s">
        <v>23</v>
      </c>
      <c r="B4" s="10" t="s">
        <v>2</v>
      </c>
      <c r="C4" s="11">
        <v>3800</v>
      </c>
      <c r="D4" s="12">
        <v>31</v>
      </c>
      <c r="E4" s="12">
        <v>324</v>
      </c>
      <c r="F4" s="13">
        <v>3500</v>
      </c>
    </row>
    <row r="5" spans="1:6" ht="15.75" x14ac:dyDescent="0.25">
      <c r="A5" s="8" t="s">
        <v>23</v>
      </c>
      <c r="B5" s="10" t="s">
        <v>3</v>
      </c>
      <c r="C5" s="11">
        <v>1100</v>
      </c>
      <c r="D5" s="12">
        <v>12</v>
      </c>
      <c r="E5" s="12">
        <v>342</v>
      </c>
      <c r="F5" s="13">
        <v>100</v>
      </c>
    </row>
    <row r="6" spans="1:6" ht="15.75" x14ac:dyDescent="0.25">
      <c r="A6" s="8" t="s">
        <v>23</v>
      </c>
      <c r="B6" s="10" t="s">
        <v>4</v>
      </c>
      <c r="C6" s="11">
        <v>350</v>
      </c>
      <c r="D6" s="12">
        <v>5</v>
      </c>
      <c r="E6" s="12">
        <v>129</v>
      </c>
      <c r="F6" s="13">
        <v>100</v>
      </c>
    </row>
    <row r="7" spans="1:6" ht="15.75" x14ac:dyDescent="0.25">
      <c r="A7" s="8" t="s">
        <v>23</v>
      </c>
      <c r="B7" s="10" t="s">
        <v>5</v>
      </c>
      <c r="C7" s="14">
        <v>4100</v>
      </c>
      <c r="D7" s="12">
        <v>190</v>
      </c>
      <c r="E7" s="12">
        <v>871</v>
      </c>
      <c r="F7" s="13">
        <v>1170</v>
      </c>
    </row>
    <row r="8" spans="1:6" ht="15.75" x14ac:dyDescent="0.25">
      <c r="A8" s="8" t="s">
        <v>23</v>
      </c>
      <c r="B8" s="10" t="s">
        <v>6</v>
      </c>
      <c r="C8" s="11">
        <v>4200</v>
      </c>
      <c r="D8" s="12">
        <v>216</v>
      </c>
      <c r="E8" s="12">
        <v>1662</v>
      </c>
      <c r="F8" s="13">
        <v>2200</v>
      </c>
    </row>
    <row r="9" spans="1:6" ht="15.75" x14ac:dyDescent="0.25">
      <c r="A9" s="8" t="s">
        <v>23</v>
      </c>
      <c r="B9" s="10" t="s">
        <v>7</v>
      </c>
      <c r="C9" s="11">
        <v>700</v>
      </c>
      <c r="D9" s="12">
        <v>84</v>
      </c>
      <c r="E9" s="12">
        <v>523</v>
      </c>
      <c r="F9" s="13">
        <v>10</v>
      </c>
    </row>
    <row r="10" spans="1:6" ht="15.75" x14ac:dyDescent="0.25">
      <c r="A10" s="8" t="s">
        <v>23</v>
      </c>
      <c r="B10" s="10" t="s">
        <v>8</v>
      </c>
      <c r="C10" s="11">
        <v>400</v>
      </c>
      <c r="D10" s="12">
        <v>27</v>
      </c>
      <c r="E10" s="12">
        <v>237</v>
      </c>
      <c r="F10" s="13">
        <v>60</v>
      </c>
    </row>
    <row r="11" spans="1:6" ht="15.75" x14ac:dyDescent="0.25">
      <c r="A11" s="8" t="s">
        <v>23</v>
      </c>
      <c r="B11" s="10" t="s">
        <v>9</v>
      </c>
      <c r="C11" s="11">
        <v>6300</v>
      </c>
      <c r="D11" s="12">
        <v>35</v>
      </c>
      <c r="E11" s="12">
        <v>315</v>
      </c>
      <c r="F11" s="13">
        <v>3760</v>
      </c>
    </row>
    <row r="12" spans="1:6" ht="15.75" x14ac:dyDescent="0.25">
      <c r="A12" s="8" t="s">
        <v>23</v>
      </c>
      <c r="B12" s="10" t="s">
        <v>10</v>
      </c>
      <c r="C12" s="11">
        <v>12300</v>
      </c>
      <c r="D12" s="12">
        <v>29</v>
      </c>
      <c r="E12" s="12">
        <v>280</v>
      </c>
      <c r="F12" s="13">
        <v>6350</v>
      </c>
    </row>
    <row r="13" spans="1:6" ht="15.75" x14ac:dyDescent="0.25">
      <c r="A13" s="8" t="s">
        <v>23</v>
      </c>
      <c r="B13" s="10" t="s">
        <v>11</v>
      </c>
      <c r="C13" s="11">
        <v>3580</v>
      </c>
      <c r="D13" s="12">
        <v>38</v>
      </c>
      <c r="E13" s="12">
        <v>271</v>
      </c>
      <c r="F13" s="13">
        <v>1200</v>
      </c>
    </row>
    <row r="14" spans="1:6" ht="16.5" thickBot="1" x14ac:dyDescent="0.3">
      <c r="A14" s="22" t="s">
        <v>23</v>
      </c>
      <c r="B14" s="23" t="s">
        <v>12</v>
      </c>
      <c r="C14" s="24">
        <v>10700</v>
      </c>
      <c r="D14" s="25">
        <v>109</v>
      </c>
      <c r="E14" s="25">
        <v>981</v>
      </c>
      <c r="F14" s="26">
        <v>1200</v>
      </c>
    </row>
    <row r="15" spans="1:6" ht="17.25" thickTop="1" thickBot="1" x14ac:dyDescent="0.3">
      <c r="A15" s="27" t="s">
        <v>23</v>
      </c>
      <c r="B15" s="28" t="s">
        <v>24</v>
      </c>
      <c r="C15" s="29">
        <f>SUM(C2:C14)</f>
        <v>49530</v>
      </c>
      <c r="D15" s="30">
        <f>SUM(D2:D14)</f>
        <v>800</v>
      </c>
      <c r="E15" s="30">
        <f>SUM(E2:E14)</f>
        <v>6500</v>
      </c>
      <c r="F15" s="30">
        <f>SUM(F2:F14)</f>
        <v>20000</v>
      </c>
    </row>
    <row r="16" spans="1:6" ht="16.5" thickTop="1" x14ac:dyDescent="0.25">
      <c r="A16" s="17" t="s">
        <v>22</v>
      </c>
      <c r="B16" s="18" t="s">
        <v>0</v>
      </c>
      <c r="C16" s="19">
        <v>4250</v>
      </c>
      <c r="D16" s="20">
        <v>42</v>
      </c>
      <c r="E16" s="20">
        <v>1735</v>
      </c>
      <c r="F16" s="21">
        <v>120</v>
      </c>
    </row>
    <row r="17" spans="1:6" ht="15.75" x14ac:dyDescent="0.25">
      <c r="A17" s="8" t="s">
        <v>22</v>
      </c>
      <c r="B17" s="10" t="s">
        <v>1</v>
      </c>
      <c r="C17" s="11"/>
      <c r="D17" s="12"/>
      <c r="E17" s="12"/>
      <c r="F17" s="13">
        <v>80</v>
      </c>
    </row>
    <row r="18" spans="1:6" ht="15.75" x14ac:dyDescent="0.25">
      <c r="A18" s="8" t="s">
        <v>22</v>
      </c>
      <c r="B18" s="10" t="s">
        <v>2</v>
      </c>
      <c r="C18" s="11">
        <v>5400</v>
      </c>
      <c r="D18" s="12">
        <v>46</v>
      </c>
      <c r="E18" s="12">
        <v>1114</v>
      </c>
      <c r="F18" s="13">
        <v>3400</v>
      </c>
    </row>
    <row r="19" spans="1:6" ht="15.75" x14ac:dyDescent="0.25">
      <c r="A19" s="8" t="s">
        <v>22</v>
      </c>
      <c r="B19" s="10" t="s">
        <v>3</v>
      </c>
      <c r="C19" s="11">
        <v>2400</v>
      </c>
      <c r="D19" s="12">
        <v>21</v>
      </c>
      <c r="E19" s="12">
        <v>1379</v>
      </c>
      <c r="F19" s="13">
        <v>100</v>
      </c>
    </row>
    <row r="20" spans="1:6" ht="15.75" x14ac:dyDescent="0.25">
      <c r="A20" s="8" t="s">
        <v>22</v>
      </c>
      <c r="B20" s="10" t="s">
        <v>4</v>
      </c>
      <c r="C20" s="11">
        <v>900</v>
      </c>
      <c r="D20" s="12">
        <v>7</v>
      </c>
      <c r="E20" s="12">
        <v>504</v>
      </c>
      <c r="F20" s="13">
        <v>70</v>
      </c>
    </row>
    <row r="21" spans="1:6" ht="15.75" x14ac:dyDescent="0.25">
      <c r="A21" s="8" t="s">
        <v>22</v>
      </c>
      <c r="B21" s="10" t="s">
        <v>5</v>
      </c>
      <c r="C21" s="14">
        <v>8000</v>
      </c>
      <c r="D21" s="12">
        <v>322</v>
      </c>
      <c r="E21" s="12">
        <v>3745</v>
      </c>
      <c r="F21" s="13">
        <v>850</v>
      </c>
    </row>
    <row r="22" spans="1:6" ht="15.75" x14ac:dyDescent="0.25">
      <c r="A22" s="8" t="s">
        <v>22</v>
      </c>
      <c r="B22" s="10" t="s">
        <v>6</v>
      </c>
      <c r="C22" s="11">
        <v>9500</v>
      </c>
      <c r="D22" s="12">
        <v>208</v>
      </c>
      <c r="E22" s="12">
        <v>6652</v>
      </c>
      <c r="F22" s="13">
        <v>1800</v>
      </c>
    </row>
    <row r="23" spans="1:6" ht="15.75" x14ac:dyDescent="0.25">
      <c r="A23" s="8" t="s">
        <v>22</v>
      </c>
      <c r="B23" s="10" t="s">
        <v>7</v>
      </c>
      <c r="C23" s="11">
        <v>2700</v>
      </c>
      <c r="D23" s="12">
        <v>179</v>
      </c>
      <c r="E23" s="12">
        <v>2370</v>
      </c>
      <c r="F23" s="13">
        <v>10</v>
      </c>
    </row>
    <row r="24" spans="1:6" ht="15.75" x14ac:dyDescent="0.25">
      <c r="A24" s="8" t="s">
        <v>22</v>
      </c>
      <c r="B24" s="10" t="s">
        <v>8</v>
      </c>
      <c r="C24" s="11">
        <v>1300</v>
      </c>
      <c r="D24" s="12">
        <v>60</v>
      </c>
      <c r="E24" s="12">
        <v>1070</v>
      </c>
      <c r="F24" s="13">
        <v>40</v>
      </c>
    </row>
    <row r="25" spans="1:6" ht="15.75" x14ac:dyDescent="0.25">
      <c r="A25" s="8" t="s">
        <v>22</v>
      </c>
      <c r="B25" s="10" t="s">
        <v>9</v>
      </c>
      <c r="C25" s="11">
        <v>7200</v>
      </c>
      <c r="D25" s="12">
        <v>58</v>
      </c>
      <c r="E25" s="12">
        <v>1120</v>
      </c>
      <c r="F25" s="13">
        <v>3400</v>
      </c>
    </row>
    <row r="26" spans="1:6" ht="15.75" x14ac:dyDescent="0.25">
      <c r="A26" s="8" t="s">
        <v>22</v>
      </c>
      <c r="B26" s="10" t="s">
        <v>10</v>
      </c>
      <c r="C26" s="11">
        <v>10518</v>
      </c>
      <c r="D26" s="12">
        <v>36</v>
      </c>
      <c r="E26" s="12">
        <v>720</v>
      </c>
      <c r="F26" s="13">
        <v>6000</v>
      </c>
    </row>
    <row r="27" spans="1:6" ht="15.75" x14ac:dyDescent="0.25">
      <c r="A27" s="8" t="s">
        <v>22</v>
      </c>
      <c r="B27" s="10" t="s">
        <v>11</v>
      </c>
      <c r="C27" s="11">
        <v>5000</v>
      </c>
      <c r="D27" s="12">
        <v>48</v>
      </c>
      <c r="E27" s="12">
        <v>1016</v>
      </c>
      <c r="F27" s="13">
        <v>950</v>
      </c>
    </row>
    <row r="28" spans="1:6" ht="16.5" thickBot="1" x14ac:dyDescent="0.3">
      <c r="A28" s="22" t="s">
        <v>22</v>
      </c>
      <c r="B28" s="23" t="s">
        <v>12</v>
      </c>
      <c r="C28" s="24">
        <v>11000</v>
      </c>
      <c r="D28" s="25">
        <v>173</v>
      </c>
      <c r="E28" s="25">
        <v>2575</v>
      </c>
      <c r="F28" s="26">
        <v>1180</v>
      </c>
    </row>
    <row r="29" spans="1:6" ht="17.25" thickTop="1" thickBot="1" x14ac:dyDescent="0.3">
      <c r="A29" s="27" t="s">
        <v>22</v>
      </c>
      <c r="B29" s="28" t="s">
        <v>24</v>
      </c>
      <c r="C29" s="29">
        <f>SUM(C16:C28)</f>
        <v>68168</v>
      </c>
      <c r="D29" s="30">
        <f>SUM(D16:D28)</f>
        <v>1200</v>
      </c>
      <c r="E29" s="30">
        <f>SUM(E16:E28)</f>
        <v>24000</v>
      </c>
      <c r="F29" s="30">
        <f>SUM(F16:F28)</f>
        <v>18000</v>
      </c>
    </row>
    <row r="30" spans="1:6" ht="16.5" thickTop="1" x14ac:dyDescent="0.25">
      <c r="A30" s="17" t="s">
        <v>21</v>
      </c>
      <c r="B30" s="18" t="s">
        <v>0</v>
      </c>
      <c r="C30" s="19">
        <v>208</v>
      </c>
      <c r="D30" s="20">
        <v>1</v>
      </c>
      <c r="E30" s="20">
        <v>89</v>
      </c>
      <c r="F30" s="21">
        <v>55</v>
      </c>
    </row>
    <row r="31" spans="1:6" ht="15.75" x14ac:dyDescent="0.25">
      <c r="A31" s="8" t="s">
        <v>21</v>
      </c>
      <c r="B31" s="10" t="s">
        <v>1</v>
      </c>
      <c r="C31" s="11">
        <v>2273</v>
      </c>
      <c r="D31" s="12">
        <v>18</v>
      </c>
      <c r="E31" s="12">
        <v>813</v>
      </c>
      <c r="F31" s="13">
        <v>127</v>
      </c>
    </row>
    <row r="32" spans="1:6" ht="15.75" x14ac:dyDescent="0.25">
      <c r="A32" s="8" t="s">
        <v>21</v>
      </c>
      <c r="B32" s="10" t="s">
        <v>2</v>
      </c>
      <c r="C32" s="11">
        <v>4434</v>
      </c>
      <c r="D32" s="12">
        <v>30</v>
      </c>
      <c r="E32" s="12">
        <v>864</v>
      </c>
      <c r="F32" s="13">
        <v>3100</v>
      </c>
    </row>
    <row r="33" spans="1:6" ht="15.75" x14ac:dyDescent="0.25">
      <c r="A33" s="8" t="s">
        <v>21</v>
      </c>
      <c r="B33" s="10" t="s">
        <v>3</v>
      </c>
      <c r="C33" s="11">
        <v>1642</v>
      </c>
      <c r="D33" s="12">
        <v>14</v>
      </c>
      <c r="E33" s="12">
        <v>638</v>
      </c>
      <c r="F33" s="13">
        <v>100</v>
      </c>
    </row>
    <row r="34" spans="1:6" ht="15.75" x14ac:dyDescent="0.25">
      <c r="A34" s="8" t="s">
        <v>21</v>
      </c>
      <c r="B34" s="10" t="s">
        <v>4</v>
      </c>
      <c r="C34" s="11">
        <v>636</v>
      </c>
      <c r="D34" s="12">
        <v>5</v>
      </c>
      <c r="E34" s="12">
        <v>248</v>
      </c>
      <c r="F34" s="13">
        <v>64</v>
      </c>
    </row>
    <row r="35" spans="1:6" ht="15.75" x14ac:dyDescent="0.25">
      <c r="A35" s="8" t="s">
        <v>21</v>
      </c>
      <c r="B35" s="10" t="s">
        <v>5</v>
      </c>
      <c r="C35" s="14">
        <v>5365</v>
      </c>
      <c r="D35" s="12">
        <v>178</v>
      </c>
      <c r="E35" s="12">
        <v>1830</v>
      </c>
      <c r="F35" s="13">
        <v>774</v>
      </c>
    </row>
    <row r="36" spans="1:6" ht="15.75" x14ac:dyDescent="0.25">
      <c r="A36" s="8" t="s">
        <v>21</v>
      </c>
      <c r="B36" s="10" t="s">
        <v>6</v>
      </c>
      <c r="C36" s="11">
        <v>6812</v>
      </c>
      <c r="D36" s="12">
        <v>247</v>
      </c>
      <c r="E36" s="12">
        <v>4575</v>
      </c>
      <c r="F36" s="13">
        <v>1650</v>
      </c>
    </row>
    <row r="37" spans="1:6" ht="15.75" x14ac:dyDescent="0.25">
      <c r="A37" s="8" t="s">
        <v>21</v>
      </c>
      <c r="B37" s="10" t="s">
        <v>7</v>
      </c>
      <c r="C37" s="11">
        <v>2696</v>
      </c>
      <c r="D37" s="12">
        <v>155</v>
      </c>
      <c r="E37" s="12">
        <v>2392</v>
      </c>
      <c r="F37" s="13">
        <v>28</v>
      </c>
    </row>
    <row r="38" spans="1:6" ht="15.75" x14ac:dyDescent="0.25">
      <c r="A38" s="8" t="s">
        <v>21</v>
      </c>
      <c r="B38" s="10" t="s">
        <v>8</v>
      </c>
      <c r="C38" s="11">
        <v>928</v>
      </c>
      <c r="D38" s="12">
        <v>35</v>
      </c>
      <c r="E38" s="12">
        <v>729</v>
      </c>
      <c r="F38" s="13">
        <v>70</v>
      </c>
    </row>
    <row r="39" spans="1:6" ht="15.75" x14ac:dyDescent="0.25">
      <c r="A39" s="8" t="s">
        <v>21</v>
      </c>
      <c r="B39" s="10" t="s">
        <v>9</v>
      </c>
      <c r="C39" s="11">
        <v>6452</v>
      </c>
      <c r="D39" s="12">
        <v>35</v>
      </c>
      <c r="E39" s="12">
        <v>915</v>
      </c>
      <c r="F39" s="13">
        <v>3080</v>
      </c>
    </row>
    <row r="40" spans="1:6" ht="15.75" x14ac:dyDescent="0.25">
      <c r="A40" s="8" t="s">
        <v>21</v>
      </c>
      <c r="B40" s="10" t="s">
        <v>10</v>
      </c>
      <c r="C40" s="11">
        <v>9685</v>
      </c>
      <c r="D40" s="12">
        <v>27</v>
      </c>
      <c r="E40" s="12">
        <v>619</v>
      </c>
      <c r="F40" s="13">
        <v>5500</v>
      </c>
    </row>
    <row r="41" spans="1:6" ht="15.75" x14ac:dyDescent="0.25">
      <c r="A41" s="8" t="s">
        <v>21</v>
      </c>
      <c r="B41" s="10" t="s">
        <v>11</v>
      </c>
      <c r="C41" s="11">
        <v>4466</v>
      </c>
      <c r="D41" s="12">
        <v>41</v>
      </c>
      <c r="E41" s="12">
        <v>879</v>
      </c>
      <c r="F41" s="13">
        <v>860</v>
      </c>
    </row>
    <row r="42" spans="1:6" ht="15.75" x14ac:dyDescent="0.25">
      <c r="A42" s="8" t="s">
        <v>21</v>
      </c>
      <c r="B42" s="10" t="s">
        <v>12</v>
      </c>
      <c r="C42" s="11">
        <v>10872</v>
      </c>
      <c r="D42" s="12">
        <v>114</v>
      </c>
      <c r="E42" s="12">
        <v>3409</v>
      </c>
      <c r="F42" s="13">
        <v>1092</v>
      </c>
    </row>
    <row r="43" spans="1:6" ht="16.5" thickBot="1" x14ac:dyDescent="0.3">
      <c r="A43" s="15" t="s">
        <v>21</v>
      </c>
      <c r="B43" s="16" t="s">
        <v>24</v>
      </c>
      <c r="C43" s="1">
        <f>SUM(C30:C42)</f>
        <v>56469</v>
      </c>
      <c r="D43" s="2">
        <f>SUM(D30:D42)</f>
        <v>900</v>
      </c>
      <c r="E43" s="2">
        <f>SUM(E30:E42)</f>
        <v>18000</v>
      </c>
      <c r="F43" s="3">
        <f>SUM(F30:F42)</f>
        <v>16500</v>
      </c>
    </row>
    <row r="44" spans="1:6" ht="16.5" thickTop="1" x14ac:dyDescent="0.25">
      <c r="A44" s="17" t="s">
        <v>16</v>
      </c>
      <c r="B44" s="18" t="s">
        <v>0</v>
      </c>
      <c r="C44" s="19">
        <v>208</v>
      </c>
      <c r="D44" s="20">
        <v>1</v>
      </c>
      <c r="E44" s="20">
        <v>89</v>
      </c>
      <c r="F44" s="21">
        <v>55</v>
      </c>
    </row>
    <row r="45" spans="1:6" ht="15.75" x14ac:dyDescent="0.25">
      <c r="A45" s="8" t="s">
        <v>16</v>
      </c>
      <c r="B45" s="10" t="s">
        <v>1</v>
      </c>
      <c r="C45" s="11">
        <v>2273</v>
      </c>
      <c r="D45" s="12">
        <v>18</v>
      </c>
      <c r="E45" s="12">
        <v>813</v>
      </c>
      <c r="F45" s="13">
        <v>127</v>
      </c>
    </row>
    <row r="46" spans="1:6" ht="15.75" x14ac:dyDescent="0.25">
      <c r="A46" s="8" t="s">
        <v>16</v>
      </c>
      <c r="B46" s="10" t="s">
        <v>2</v>
      </c>
      <c r="C46" s="11">
        <v>4434</v>
      </c>
      <c r="D46" s="12">
        <v>30</v>
      </c>
      <c r="E46" s="12">
        <v>864</v>
      </c>
      <c r="F46" s="13">
        <v>3100</v>
      </c>
    </row>
    <row r="47" spans="1:6" ht="18" customHeight="1" x14ac:dyDescent="0.25">
      <c r="A47" s="8" t="s">
        <v>16</v>
      </c>
      <c r="B47" s="10" t="s">
        <v>3</v>
      </c>
      <c r="C47" s="11">
        <v>1642</v>
      </c>
      <c r="D47" s="12">
        <v>14</v>
      </c>
      <c r="E47" s="12">
        <v>638</v>
      </c>
      <c r="F47" s="13">
        <v>100</v>
      </c>
    </row>
    <row r="48" spans="1:6" ht="15.75" x14ac:dyDescent="0.25">
      <c r="A48" s="8" t="s">
        <v>16</v>
      </c>
      <c r="B48" s="10" t="s">
        <v>4</v>
      </c>
      <c r="C48" s="11">
        <v>636</v>
      </c>
      <c r="D48" s="12">
        <v>5</v>
      </c>
      <c r="E48" s="12">
        <v>248</v>
      </c>
      <c r="F48" s="13">
        <v>64</v>
      </c>
    </row>
    <row r="49" spans="1:6" ht="15.75" x14ac:dyDescent="0.25">
      <c r="A49" s="8" t="s">
        <v>16</v>
      </c>
      <c r="B49" s="10" t="s">
        <v>5</v>
      </c>
      <c r="C49" s="14">
        <v>5365</v>
      </c>
      <c r="D49" s="12">
        <v>178</v>
      </c>
      <c r="E49" s="12">
        <v>1830</v>
      </c>
      <c r="F49" s="13">
        <v>774</v>
      </c>
    </row>
    <row r="50" spans="1:6" ht="15.75" x14ac:dyDescent="0.25">
      <c r="A50" s="8" t="s">
        <v>16</v>
      </c>
      <c r="B50" s="10" t="s">
        <v>6</v>
      </c>
      <c r="C50" s="11">
        <v>6812</v>
      </c>
      <c r="D50" s="12">
        <v>247</v>
      </c>
      <c r="E50" s="12">
        <v>4575</v>
      </c>
      <c r="F50" s="13">
        <v>1650</v>
      </c>
    </row>
    <row r="51" spans="1:6" ht="15.75" x14ac:dyDescent="0.25">
      <c r="A51" s="8" t="s">
        <v>16</v>
      </c>
      <c r="B51" s="10" t="s">
        <v>7</v>
      </c>
      <c r="C51" s="11">
        <v>2696</v>
      </c>
      <c r="D51" s="12">
        <v>155</v>
      </c>
      <c r="E51" s="12">
        <v>2392</v>
      </c>
      <c r="F51" s="13">
        <v>28</v>
      </c>
    </row>
    <row r="52" spans="1:6" ht="15.75" x14ac:dyDescent="0.25">
      <c r="A52" s="8" t="s">
        <v>16</v>
      </c>
      <c r="B52" s="10" t="s">
        <v>8</v>
      </c>
      <c r="C52" s="11">
        <v>928</v>
      </c>
      <c r="D52" s="12">
        <v>35</v>
      </c>
      <c r="E52" s="12">
        <v>729</v>
      </c>
      <c r="F52" s="13">
        <v>70</v>
      </c>
    </row>
    <row r="53" spans="1:6" ht="15.75" x14ac:dyDescent="0.25">
      <c r="A53" s="8" t="s">
        <v>16</v>
      </c>
      <c r="B53" s="10" t="s">
        <v>9</v>
      </c>
      <c r="C53" s="11">
        <v>6452</v>
      </c>
      <c r="D53" s="12">
        <v>35</v>
      </c>
      <c r="E53" s="12">
        <v>915</v>
      </c>
      <c r="F53" s="13">
        <v>3080</v>
      </c>
    </row>
    <row r="54" spans="1:6" ht="15.75" x14ac:dyDescent="0.25">
      <c r="A54" s="8" t="s">
        <v>16</v>
      </c>
      <c r="B54" s="10" t="s">
        <v>10</v>
      </c>
      <c r="C54" s="11">
        <v>9685</v>
      </c>
      <c r="D54" s="12">
        <v>27</v>
      </c>
      <c r="E54" s="12">
        <v>619</v>
      </c>
      <c r="F54" s="13">
        <v>5500</v>
      </c>
    </row>
    <row r="55" spans="1:6" ht="15.75" x14ac:dyDescent="0.25">
      <c r="A55" s="8" t="s">
        <v>16</v>
      </c>
      <c r="B55" s="10" t="s">
        <v>11</v>
      </c>
      <c r="C55" s="11">
        <v>4466</v>
      </c>
      <c r="D55" s="12">
        <v>41</v>
      </c>
      <c r="E55" s="12">
        <v>879</v>
      </c>
      <c r="F55" s="13">
        <v>860</v>
      </c>
    </row>
    <row r="56" spans="1:6" ht="15.75" x14ac:dyDescent="0.25">
      <c r="A56" s="8" t="s">
        <v>16</v>
      </c>
      <c r="B56" s="10" t="s">
        <v>12</v>
      </c>
      <c r="C56" s="11">
        <v>10872</v>
      </c>
      <c r="D56" s="12">
        <v>114</v>
      </c>
      <c r="E56" s="12">
        <v>3409</v>
      </c>
      <c r="F56" s="13">
        <v>1092</v>
      </c>
    </row>
    <row r="57" spans="1:6" ht="16.5" thickBot="1" x14ac:dyDescent="0.3">
      <c r="A57" s="15" t="s">
        <v>16</v>
      </c>
      <c r="B57" s="16" t="s">
        <v>13</v>
      </c>
      <c r="C57" s="1">
        <f>SUM(C44:C56)</f>
        <v>56469</v>
      </c>
      <c r="D57" s="2">
        <f>SUM(D44:D56)</f>
        <v>900</v>
      </c>
      <c r="E57" s="2">
        <f>SUM(E44:E56)</f>
        <v>18000</v>
      </c>
      <c r="F57" s="3">
        <f>SUM(F44:F56)</f>
        <v>16500</v>
      </c>
    </row>
    <row r="58" spans="1:6" ht="15.75" thickTop="1" x14ac:dyDescent="0.25"/>
  </sheetData>
  <mergeCells count="4"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Riadh</dc:creator>
  <cp:lastModifiedBy>user</cp:lastModifiedBy>
  <dcterms:created xsi:type="dcterms:W3CDTF">2019-11-04T15:55:23Z</dcterms:created>
  <dcterms:modified xsi:type="dcterms:W3CDTF">2025-05-15T10:53:31Z</dcterms:modified>
</cp:coreProperties>
</file>