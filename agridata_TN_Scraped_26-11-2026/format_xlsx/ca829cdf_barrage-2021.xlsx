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tabRatio="925"/>
  </bookViews>
  <sheets>
    <sheet name="Agric2" sheetId="424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Agric2!$B$1:$F$8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F22" i="424" l="1"/>
  <c r="E22" i="424"/>
  <c r="D22" i="424"/>
  <c r="C22" i="424"/>
  <c r="F15" i="424" l="1"/>
  <c r="E15" i="424"/>
  <c r="D15" i="424"/>
  <c r="C15" i="424"/>
  <c r="F8" i="424"/>
  <c r="E8" i="424"/>
  <c r="D8" i="424"/>
  <c r="C8" i="424"/>
</calcChain>
</file>

<file path=xl/sharedStrings.xml><?xml version="1.0" encoding="utf-8"?>
<sst xmlns="http://schemas.openxmlformats.org/spreadsheetml/2006/main" count="27" uniqueCount="13">
  <si>
    <t xml:space="preserve">المجموع  </t>
  </si>
  <si>
    <t>الزريبة</t>
  </si>
  <si>
    <t>بئر مشارقة</t>
  </si>
  <si>
    <t>الفحص</t>
  </si>
  <si>
    <t>الناظور</t>
  </si>
  <si>
    <t>صواف</t>
  </si>
  <si>
    <t>زغوان</t>
  </si>
  <si>
    <t>Année</t>
  </si>
  <si>
    <t>Délégation</t>
  </si>
  <si>
    <t>Capacité de rétention (mille m3)</t>
  </si>
  <si>
    <t>Reserve (mille m3)</t>
  </si>
  <si>
    <t xml:space="preserve"> Nbre de barrages et barrages collinaires</t>
  </si>
  <si>
    <t xml:space="preserve">Exploitation (mille m3)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</si>
</sst>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792">
    <xf numFmtId="0" fontId="0" fillId="0" borderId="0"/>
    <xf numFmtId="44" fontId="22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/>
    <xf numFmtId="0" fontId="22" fillId="0" borderId="0"/>
    <xf numFmtId="0" fontId="20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28" fillId="0" borderId="0" applyFont="0" applyFill="0" applyBorder="0" applyAlignment="0" applyProtection="0"/>
    <xf numFmtId="0" fontId="22" fillId="0" borderId="0"/>
    <xf numFmtId="0" fontId="11" fillId="0" borderId="0"/>
    <xf numFmtId="0" fontId="22" fillId="0" borderId="0"/>
    <xf numFmtId="0" fontId="22" fillId="0" borderId="0"/>
    <xf numFmtId="0" fontId="10" fillId="0" borderId="0"/>
    <xf numFmtId="0" fontId="9" fillId="0" borderId="0"/>
    <xf numFmtId="0" fontId="8" fillId="0" borderId="0"/>
    <xf numFmtId="0" fontId="22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12" fillId="0" borderId="0"/>
    <xf numFmtId="0" fontId="1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" fillId="0" borderId="0"/>
    <xf numFmtId="0" fontId="22" fillId="0" borderId="0"/>
    <xf numFmtId="0" fontId="22" fillId="0" borderId="0"/>
    <xf numFmtId="0" fontId="22" fillId="2" borderId="0" applyAlignment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28" fillId="0" borderId="0"/>
  </cellStyleXfs>
  <cellXfs count="24">
    <xf numFmtId="0" fontId="0" fillId="0" borderId="0" xfId="0"/>
    <xf numFmtId="0" fontId="19" fillId="0" borderId="0" xfId="782"/>
    <xf numFmtId="0" fontId="25" fillId="0" borderId="0" xfId="782" applyFont="1" applyFill="1"/>
    <xf numFmtId="0" fontId="29" fillId="0" borderId="0" xfId="782" applyFont="1"/>
    <xf numFmtId="0" fontId="30" fillId="0" borderId="1" xfId="83" applyNumberFormat="1" applyFont="1" applyFill="1" applyBorder="1" applyAlignment="1">
      <alignment horizontal="right" vertical="center" indent="1"/>
    </xf>
    <xf numFmtId="0" fontId="31" fillId="0" borderId="1" xfId="0" applyFont="1" applyFill="1" applyBorder="1" applyAlignment="1">
      <alignment horizontal="center" vertical="center"/>
    </xf>
    <xf numFmtId="3" fontId="31" fillId="0" borderId="1" xfId="0" applyNumberFormat="1" applyFont="1" applyFill="1" applyBorder="1" applyAlignment="1">
      <alignment horizontal="center" vertical="center"/>
    </xf>
    <xf numFmtId="0" fontId="30" fillId="0" borderId="1" xfId="782" applyFont="1" applyFill="1" applyBorder="1" applyAlignment="1">
      <alignment horizontal="right" vertical="center" indent="1"/>
    </xf>
    <xf numFmtId="1" fontId="30" fillId="0" borderId="1" xfId="0" applyNumberFormat="1" applyFont="1" applyFill="1" applyBorder="1" applyAlignment="1">
      <alignment horizontal="center" vertical="center"/>
    </xf>
    <xf numFmtId="1" fontId="31" fillId="0" borderId="1" xfId="0" applyNumberFormat="1" applyFont="1" applyFill="1" applyBorder="1" applyAlignment="1">
      <alignment horizontal="center" vertical="center"/>
    </xf>
    <xf numFmtId="0" fontId="30" fillId="0" borderId="1" xfId="782" applyFont="1" applyFill="1" applyBorder="1" applyAlignment="1">
      <alignment vertical="center" wrapText="1"/>
    </xf>
    <xf numFmtId="0" fontId="30" fillId="0" borderId="1" xfId="782" applyFont="1" applyFill="1" applyBorder="1" applyAlignment="1">
      <alignment vertical="center"/>
    </xf>
    <xf numFmtId="0" fontId="30" fillId="0" borderId="1" xfId="782" applyFont="1" applyFill="1" applyBorder="1" applyAlignment="1">
      <alignment vertical="center" readingOrder="2"/>
    </xf>
    <xf numFmtId="0" fontId="32" fillId="0" borderId="1" xfId="782" applyFont="1" applyBorder="1"/>
    <xf numFmtId="1" fontId="30" fillId="0" borderId="1" xfId="0" applyNumberFormat="1" applyFont="1" applyFill="1" applyBorder="1" applyAlignment="1">
      <alignment horizontal="center" vertical="center" wrapText="1"/>
    </xf>
    <xf numFmtId="0" fontId="32" fillId="0" borderId="2" xfId="782" applyFont="1" applyBorder="1"/>
    <xf numFmtId="0" fontId="30" fillId="0" borderId="2" xfId="83" applyNumberFormat="1" applyFont="1" applyFill="1" applyBorder="1" applyAlignment="1">
      <alignment horizontal="right" vertical="center" indent="1"/>
    </xf>
    <xf numFmtId="0" fontId="31" fillId="0" borderId="2" xfId="0" applyFont="1" applyFill="1" applyBorder="1" applyAlignment="1">
      <alignment horizontal="center" vertical="center"/>
    </xf>
    <xf numFmtId="3" fontId="31" fillId="0" borderId="2" xfId="0" applyNumberFormat="1" applyFont="1" applyFill="1" applyBorder="1" applyAlignment="1">
      <alignment horizontal="center" vertical="center"/>
    </xf>
    <xf numFmtId="0" fontId="32" fillId="0" borderId="3" xfId="782" applyFont="1" applyBorder="1"/>
    <xf numFmtId="0" fontId="30" fillId="0" borderId="3" xfId="782" applyFont="1" applyFill="1" applyBorder="1" applyAlignment="1">
      <alignment horizontal="right" vertical="center" indent="1"/>
    </xf>
    <xf numFmtId="1" fontId="30" fillId="0" borderId="3" xfId="0" applyNumberFormat="1" applyFont="1" applyFill="1" applyBorder="1" applyAlignment="1">
      <alignment horizontal="center" vertical="center"/>
    </xf>
    <xf numFmtId="3" fontId="30" fillId="0" borderId="3" xfId="0" applyNumberFormat="1" applyFont="1" applyFill="1" applyBorder="1" applyAlignment="1">
      <alignment horizontal="center" vertical="center" wrapText="1"/>
    </xf>
    <xf numFmtId="1" fontId="31" fillId="0" borderId="2" xfId="0" applyNumberFormat="1" applyFont="1" applyFill="1" applyBorder="1" applyAlignment="1">
      <alignment horizontal="center" vertical="center"/>
    </xf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ownloads/DOCUME~1/ncs/LOCALS~1/Temp/Rar$DI00.328/NachMN02/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F27"/>
  <sheetViews>
    <sheetView tabSelected="1" zoomScaleNormal="100" workbookViewId="0">
      <selection activeCell="K8" sqref="K8"/>
    </sheetView>
  </sheetViews>
  <sheetFormatPr baseColWidth="10" defaultColWidth="11.42578125" defaultRowHeight="15" x14ac:dyDescent="0.25"/>
  <cols>
    <col min="1" max="1" width="8.42578125" style="1" customWidth="1"/>
    <col min="2" max="2" width="14.7109375" style="1" customWidth="1"/>
    <col min="3" max="3" width="37.28515625" style="1" customWidth="1"/>
    <col min="4" max="4" width="34.28515625" style="1" customWidth="1"/>
    <col min="5" max="5" width="23.28515625" style="1" bestFit="1" customWidth="1"/>
    <col min="6" max="6" width="24.7109375" style="1" bestFit="1" customWidth="1"/>
    <col min="7" max="16384" width="11.42578125" style="1"/>
  </cols>
  <sheetData>
    <row r="1" spans="1:6" s="2" customFormat="1" ht="33" customHeight="1" x14ac:dyDescent="0.2">
      <c r="A1" s="10" t="s">
        <v>7</v>
      </c>
      <c r="B1" s="10" t="s">
        <v>8</v>
      </c>
      <c r="C1" s="11" t="s">
        <v>11</v>
      </c>
      <c r="D1" s="11" t="s">
        <v>9</v>
      </c>
      <c r="E1" s="11" t="s">
        <v>10</v>
      </c>
      <c r="F1" s="12" t="s">
        <v>12</v>
      </c>
    </row>
    <row r="2" spans="1:6" ht="20.25" customHeight="1" x14ac:dyDescent="0.25">
      <c r="A2" s="13">
        <v>2021</v>
      </c>
      <c r="B2" s="4" t="s">
        <v>6</v>
      </c>
      <c r="C2" s="5">
        <v>3</v>
      </c>
      <c r="D2" s="5">
        <v>3910</v>
      </c>
      <c r="E2" s="6">
        <v>1528</v>
      </c>
      <c r="F2" s="6">
        <v>192</v>
      </c>
    </row>
    <row r="3" spans="1:6" ht="20.25" customHeight="1" x14ac:dyDescent="0.25">
      <c r="A3" s="13">
        <v>2021</v>
      </c>
      <c r="B3" s="4" t="s">
        <v>1</v>
      </c>
      <c r="C3" s="5">
        <v>1</v>
      </c>
      <c r="D3" s="6">
        <v>22000</v>
      </c>
      <c r="E3" s="6">
        <v>2885</v>
      </c>
      <c r="F3" s="6"/>
    </row>
    <row r="4" spans="1:6" ht="20.25" customHeight="1" x14ac:dyDescent="0.25">
      <c r="A4" s="13">
        <v>2021</v>
      </c>
      <c r="B4" s="4" t="s">
        <v>2</v>
      </c>
      <c r="C4" s="5">
        <v>1</v>
      </c>
      <c r="D4" s="6">
        <v>43000</v>
      </c>
      <c r="E4" s="6">
        <v>27095</v>
      </c>
      <c r="F4" s="6">
        <v>3820</v>
      </c>
    </row>
    <row r="5" spans="1:6" ht="20.25" customHeight="1" x14ac:dyDescent="0.25">
      <c r="A5" s="13">
        <v>2021</v>
      </c>
      <c r="B5" s="4" t="s">
        <v>3</v>
      </c>
      <c r="C5" s="5">
        <v>9</v>
      </c>
      <c r="D5" s="6">
        <v>6200</v>
      </c>
      <c r="E5" s="6">
        <v>1653</v>
      </c>
      <c r="F5" s="6">
        <v>30</v>
      </c>
    </row>
    <row r="6" spans="1:6" s="3" customFormat="1" ht="20.25" customHeight="1" x14ac:dyDescent="0.25">
      <c r="A6" s="13">
        <v>2021</v>
      </c>
      <c r="B6" s="4" t="s">
        <v>4</v>
      </c>
      <c r="C6" s="5">
        <v>2</v>
      </c>
      <c r="D6" s="6">
        <v>2950</v>
      </c>
      <c r="E6" s="6">
        <v>786</v>
      </c>
      <c r="F6" s="6">
        <v>6</v>
      </c>
    </row>
    <row r="7" spans="1:6" s="3" customFormat="1" ht="20.25" customHeight="1" x14ac:dyDescent="0.25">
      <c r="A7" s="13">
        <v>2021</v>
      </c>
      <c r="B7" s="4" t="s">
        <v>5</v>
      </c>
      <c r="C7" s="5">
        <v>5</v>
      </c>
      <c r="D7" s="6">
        <v>20780</v>
      </c>
      <c r="E7" s="6">
        <v>6287</v>
      </c>
      <c r="F7" s="6">
        <v>55</v>
      </c>
    </row>
    <row r="8" spans="1:6" ht="20.25" customHeight="1" thickBot="1" x14ac:dyDescent="0.3">
      <c r="A8" s="19">
        <v>2021</v>
      </c>
      <c r="B8" s="20" t="s">
        <v>0</v>
      </c>
      <c r="C8" s="21">
        <f t="shared" ref="C8:F8" si="0">SUM(C2:C7)</f>
        <v>21</v>
      </c>
      <c r="D8" s="22">
        <f t="shared" si="0"/>
        <v>98840</v>
      </c>
      <c r="E8" s="22">
        <f t="shared" si="0"/>
        <v>40234</v>
      </c>
      <c r="F8" s="22">
        <f t="shared" si="0"/>
        <v>4103</v>
      </c>
    </row>
    <row r="9" spans="1:6" ht="20.25" customHeight="1" x14ac:dyDescent="0.25">
      <c r="A9" s="15">
        <v>2022</v>
      </c>
      <c r="B9" s="16" t="s">
        <v>6</v>
      </c>
      <c r="C9" s="17">
        <v>3</v>
      </c>
      <c r="D9" s="17">
        <v>3910</v>
      </c>
      <c r="E9" s="18">
        <v>195.5</v>
      </c>
      <c r="F9" s="18">
        <v>180</v>
      </c>
    </row>
    <row r="10" spans="1:6" ht="20.25" customHeight="1" x14ac:dyDescent="0.25">
      <c r="A10" s="13">
        <v>2022</v>
      </c>
      <c r="B10" s="4" t="s">
        <v>1</v>
      </c>
      <c r="C10" s="5">
        <v>1</v>
      </c>
      <c r="D10" s="6">
        <v>22000</v>
      </c>
      <c r="E10" s="6">
        <v>0</v>
      </c>
      <c r="F10" s="6"/>
    </row>
    <row r="11" spans="1:6" ht="20.25" customHeight="1" x14ac:dyDescent="0.25">
      <c r="A11" s="13">
        <v>2022</v>
      </c>
      <c r="B11" s="4" t="s">
        <v>2</v>
      </c>
      <c r="C11" s="5">
        <v>1</v>
      </c>
      <c r="D11" s="6">
        <v>43000</v>
      </c>
      <c r="E11" s="6">
        <v>13870</v>
      </c>
      <c r="F11" s="6">
        <v>4100</v>
      </c>
    </row>
    <row r="12" spans="1:6" ht="20.25" customHeight="1" x14ac:dyDescent="0.25">
      <c r="A12" s="13">
        <v>2022</v>
      </c>
      <c r="B12" s="4" t="s">
        <v>3</v>
      </c>
      <c r="C12" s="5">
        <v>9</v>
      </c>
      <c r="D12" s="6">
        <v>6200</v>
      </c>
      <c r="E12" s="6">
        <v>310</v>
      </c>
      <c r="F12" s="6">
        <v>30</v>
      </c>
    </row>
    <row r="13" spans="1:6" ht="20.25" customHeight="1" x14ac:dyDescent="0.25">
      <c r="A13" s="13">
        <v>2022</v>
      </c>
      <c r="B13" s="4" t="s">
        <v>4</v>
      </c>
      <c r="C13" s="5">
        <v>2</v>
      </c>
      <c r="D13" s="6">
        <v>2950</v>
      </c>
      <c r="E13" s="6">
        <v>147.5</v>
      </c>
      <c r="F13" s="6">
        <v>25</v>
      </c>
    </row>
    <row r="14" spans="1:6" ht="20.25" customHeight="1" x14ac:dyDescent="0.25">
      <c r="A14" s="13">
        <v>2022</v>
      </c>
      <c r="B14" s="4" t="s">
        <v>5</v>
      </c>
      <c r="C14" s="5">
        <v>5</v>
      </c>
      <c r="D14" s="6">
        <v>17280</v>
      </c>
      <c r="E14" s="6">
        <v>864</v>
      </c>
      <c r="F14" s="6">
        <v>45</v>
      </c>
    </row>
    <row r="15" spans="1:6" ht="20.25" customHeight="1" thickBot="1" x14ac:dyDescent="0.3">
      <c r="A15" s="19">
        <v>2022</v>
      </c>
      <c r="B15" s="20" t="s">
        <v>0</v>
      </c>
      <c r="C15" s="21">
        <f>SUM(C9:C14)</f>
        <v>21</v>
      </c>
      <c r="D15" s="22">
        <f>SUM(D9:D14)</f>
        <v>95340</v>
      </c>
      <c r="E15" s="22">
        <f>SUM(E9:E14)</f>
        <v>15387</v>
      </c>
      <c r="F15" s="22">
        <f>SUM(F9:F14)</f>
        <v>4380</v>
      </c>
    </row>
    <row r="16" spans="1:6" ht="20.25" customHeight="1" x14ac:dyDescent="0.25">
      <c r="A16" s="15">
        <v>2023</v>
      </c>
      <c r="B16" s="16" t="s">
        <v>6</v>
      </c>
      <c r="C16" s="23">
        <v>3</v>
      </c>
      <c r="D16" s="23">
        <v>3910</v>
      </c>
      <c r="E16" s="23">
        <v>180</v>
      </c>
      <c r="F16" s="18">
        <v>165</v>
      </c>
    </row>
    <row r="17" spans="1:6" ht="20.25" customHeight="1" x14ac:dyDescent="0.25">
      <c r="A17" s="13">
        <v>2023</v>
      </c>
      <c r="B17" s="4" t="s">
        <v>1</v>
      </c>
      <c r="C17" s="9">
        <v>1</v>
      </c>
      <c r="D17" s="9">
        <v>22000</v>
      </c>
      <c r="E17" s="9">
        <v>0</v>
      </c>
      <c r="F17" s="6"/>
    </row>
    <row r="18" spans="1:6" ht="20.25" customHeight="1" x14ac:dyDescent="0.25">
      <c r="A18" s="13">
        <v>2023</v>
      </c>
      <c r="B18" s="4" t="s">
        <v>2</v>
      </c>
      <c r="C18" s="9">
        <v>1</v>
      </c>
      <c r="D18" s="9">
        <v>43000</v>
      </c>
      <c r="E18" s="9">
        <v>11810</v>
      </c>
      <c r="F18" s="6">
        <v>4300</v>
      </c>
    </row>
    <row r="19" spans="1:6" ht="20.25" customHeight="1" x14ac:dyDescent="0.25">
      <c r="A19" s="13">
        <v>2023</v>
      </c>
      <c r="B19" s="4" t="s">
        <v>3</v>
      </c>
      <c r="C19" s="9">
        <v>9</v>
      </c>
      <c r="D19" s="9">
        <v>6200</v>
      </c>
      <c r="E19" s="9">
        <v>290</v>
      </c>
      <c r="F19" s="6">
        <v>25</v>
      </c>
    </row>
    <row r="20" spans="1:6" ht="20.25" customHeight="1" x14ac:dyDescent="0.25">
      <c r="A20" s="13">
        <v>2023</v>
      </c>
      <c r="B20" s="4" t="s">
        <v>4</v>
      </c>
      <c r="C20" s="9">
        <v>2</v>
      </c>
      <c r="D20" s="9">
        <v>2950</v>
      </c>
      <c r="E20" s="9">
        <v>143</v>
      </c>
      <c r="F20" s="6">
        <v>20</v>
      </c>
    </row>
    <row r="21" spans="1:6" ht="20.25" customHeight="1" x14ac:dyDescent="0.25">
      <c r="A21" s="13">
        <v>2023</v>
      </c>
      <c r="B21" s="4" t="s">
        <v>5</v>
      </c>
      <c r="C21" s="9">
        <v>5</v>
      </c>
      <c r="D21" s="9">
        <v>17280</v>
      </c>
      <c r="E21" s="9">
        <v>670</v>
      </c>
      <c r="F21" s="6">
        <v>40</v>
      </c>
    </row>
    <row r="22" spans="1:6" ht="20.25" customHeight="1" x14ac:dyDescent="0.25">
      <c r="A22" s="13">
        <v>2023</v>
      </c>
      <c r="B22" s="7" t="s">
        <v>0</v>
      </c>
      <c r="C22" s="8">
        <f>SUM(C16:C21)</f>
        <v>21</v>
      </c>
      <c r="D22" s="14">
        <f>SUM(D16:D21)</f>
        <v>95340</v>
      </c>
      <c r="E22" s="14">
        <f>SUM(E16:E21)</f>
        <v>13093</v>
      </c>
      <c r="F22" s="14">
        <f>SUM(F16:F21)</f>
        <v>4550</v>
      </c>
    </row>
    <row r="26" spans="1:6" ht="15" customHeight="1" x14ac:dyDescent="0.25"/>
    <row r="27" spans="1:6" ht="15" customHeight="1" x14ac:dyDescent="0.25"/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70" firstPageNumber="48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Agric2</vt:lpstr>
      <vt:lpstr>Agric2!Zone_d_impression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2025-04-15T08:32:25Z</dcterms:modified>
</cp:coreProperties>
</file>