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7" i="1" l="1"/>
  <c r="I13" i="1"/>
  <c r="I12" i="1"/>
  <c r="I11" i="1"/>
  <c r="I7" i="1"/>
  <c r="I14" i="1" s="1"/>
  <c r="H14" i="1"/>
  <c r="G14" i="1"/>
  <c r="F26" i="1"/>
  <c r="F25" i="1"/>
  <c r="F24" i="1"/>
  <c r="F19" i="1"/>
  <c r="F27" i="1" s="1"/>
  <c r="F14" i="1"/>
  <c r="E27" i="1"/>
  <c r="E14" i="1"/>
  <c r="D24" i="1"/>
  <c r="D14" i="1"/>
  <c r="C27" i="1"/>
  <c r="C14" i="1"/>
</calcChain>
</file>

<file path=xl/sharedStrings.xml><?xml version="1.0" encoding="utf-8"?>
<sst xmlns="http://schemas.openxmlformats.org/spreadsheetml/2006/main" count="35" uniqueCount="22">
  <si>
    <t>Annee</t>
  </si>
  <si>
    <t>delegation</t>
  </si>
  <si>
    <t>Maraichage_ha</t>
  </si>
  <si>
    <t>Cultures_Industrielles_ha</t>
  </si>
  <si>
    <t>Arboriculture_ha</t>
  </si>
  <si>
    <t>Ben Arous</t>
  </si>
  <si>
    <t>Médina Jedida</t>
  </si>
  <si>
    <t>Mourouj</t>
  </si>
  <si>
    <t>Hammam-Lif</t>
  </si>
  <si>
    <t>Hammam-Chott</t>
  </si>
  <si>
    <t>Bou Mhel</t>
  </si>
  <si>
    <t>Ezzahra</t>
  </si>
  <si>
    <t>Rades</t>
  </si>
  <si>
    <t>Megrine</t>
  </si>
  <si>
    <t>M'hamdia</t>
  </si>
  <si>
    <t>Fouchana</t>
  </si>
  <si>
    <t>Mornag</t>
  </si>
  <si>
    <t xml:space="preserve">TOTAL   </t>
  </si>
  <si>
    <t>Cerealiculture_ha</t>
  </si>
  <si>
    <t>Legumineuses_ha</t>
  </si>
  <si>
    <t>Fourrages_ha</t>
  </si>
  <si>
    <t>Olives_ha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</si>
</sst>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1" fontId="1" fillId="0" borderId="7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tabSelected="1" workbookViewId="0">
      <selection activeCell="L18" sqref="L18"/>
    </sheetView>
  </sheetViews>
  <sheetFormatPr baseColWidth="10" defaultColWidth="9.140625" defaultRowHeight="15" x14ac:dyDescent="0.25"/>
  <sheetData>
    <row r="1" spans="1:9" ht="1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18</v>
      </c>
      <c r="G1" t="s">
        <v>19</v>
      </c>
      <c r="H1" t="s">
        <v>20</v>
      </c>
      <c r="I1" t="s">
        <v>21</v>
      </c>
    </row>
    <row r="2" spans="1:9" x14ac:dyDescent="0.25">
      <c r="A2">
        <v>2023</v>
      </c>
      <c r="B2" t="s">
        <v>5</v>
      </c>
      <c r="C2" s="1"/>
      <c r="D2" s="2"/>
      <c r="E2" s="2"/>
      <c r="F2" s="3"/>
      <c r="G2" s="4"/>
      <c r="H2" s="4"/>
      <c r="I2" s="4"/>
    </row>
    <row r="3" spans="1:9" x14ac:dyDescent="0.25">
      <c r="A3">
        <v>2023</v>
      </c>
      <c r="B3" t="s">
        <v>6</v>
      </c>
      <c r="C3" s="5"/>
      <c r="D3" s="6"/>
      <c r="E3" s="6"/>
      <c r="F3" s="7"/>
      <c r="G3" s="8"/>
      <c r="H3" s="8"/>
      <c r="I3" s="8"/>
    </row>
    <row r="4" spans="1:9" x14ac:dyDescent="0.25">
      <c r="A4">
        <v>2023</v>
      </c>
      <c r="B4" t="s">
        <v>7</v>
      </c>
      <c r="C4" s="5"/>
      <c r="D4" s="6"/>
      <c r="E4" s="6"/>
      <c r="F4" s="7"/>
      <c r="G4" s="8"/>
      <c r="H4" s="8"/>
      <c r="I4" s="8"/>
    </row>
    <row r="5" spans="1:9" x14ac:dyDescent="0.25">
      <c r="A5">
        <v>2023</v>
      </c>
      <c r="B5" t="s">
        <v>8</v>
      </c>
      <c r="C5" s="7"/>
      <c r="D5" s="8"/>
      <c r="E5" s="8"/>
      <c r="F5" s="7"/>
      <c r="G5" s="8"/>
      <c r="H5" s="8"/>
      <c r="I5" s="8"/>
    </row>
    <row r="6" spans="1:9" x14ac:dyDescent="0.25">
      <c r="A6">
        <v>2023</v>
      </c>
      <c r="B6" t="s">
        <v>9</v>
      </c>
      <c r="C6" s="5"/>
      <c r="D6" s="6"/>
      <c r="E6" s="6"/>
      <c r="F6" s="7"/>
      <c r="G6" s="8"/>
      <c r="H6" s="8"/>
      <c r="I6" s="8"/>
    </row>
    <row r="7" spans="1:9" x14ac:dyDescent="0.25">
      <c r="A7">
        <v>2023</v>
      </c>
      <c r="B7" t="s">
        <v>10</v>
      </c>
      <c r="C7" s="5">
        <v>70</v>
      </c>
      <c r="D7" s="6"/>
      <c r="E7" s="6">
        <v>210</v>
      </c>
      <c r="F7" s="7"/>
      <c r="G7" s="8"/>
      <c r="H7" s="8"/>
      <c r="I7" s="8">
        <f>120+25</f>
        <v>145</v>
      </c>
    </row>
    <row r="8" spans="1:9" x14ac:dyDescent="0.25">
      <c r="A8">
        <v>2023</v>
      </c>
      <c r="B8" t="s">
        <v>11</v>
      </c>
      <c r="C8" s="5"/>
      <c r="D8" s="6"/>
      <c r="E8" s="6"/>
      <c r="F8" s="7"/>
      <c r="G8" s="8"/>
      <c r="H8" s="8"/>
      <c r="I8" s="8"/>
    </row>
    <row r="9" spans="1:9" x14ac:dyDescent="0.25">
      <c r="A9">
        <v>2023</v>
      </c>
      <c r="B9" t="s">
        <v>12</v>
      </c>
      <c r="C9" s="7"/>
      <c r="D9" s="8"/>
      <c r="E9" s="8"/>
      <c r="F9" s="7"/>
      <c r="G9" s="8"/>
      <c r="H9" s="8"/>
      <c r="I9" s="8"/>
    </row>
    <row r="10" spans="1:9" x14ac:dyDescent="0.25">
      <c r="A10">
        <v>2023</v>
      </c>
      <c r="B10" t="s">
        <v>13</v>
      </c>
      <c r="C10" s="7"/>
      <c r="D10" s="8"/>
      <c r="E10" s="8"/>
      <c r="F10" s="7"/>
      <c r="G10" s="8"/>
      <c r="H10" s="8"/>
      <c r="I10" s="8"/>
    </row>
    <row r="11" spans="1:9" x14ac:dyDescent="0.25">
      <c r="A11">
        <v>2023</v>
      </c>
      <c r="B11" t="s">
        <v>14</v>
      </c>
      <c r="C11" s="5">
        <v>30</v>
      </c>
      <c r="D11" s="6">
        <v>209</v>
      </c>
      <c r="E11" s="6">
        <v>205</v>
      </c>
      <c r="F11" s="8">
        <v>3562</v>
      </c>
      <c r="G11" s="8">
        <v>145</v>
      </c>
      <c r="H11" s="8">
        <v>3000</v>
      </c>
      <c r="I11" s="8">
        <f>38+585</f>
        <v>623</v>
      </c>
    </row>
    <row r="12" spans="1:9" x14ac:dyDescent="0.25">
      <c r="A12">
        <v>2023</v>
      </c>
      <c r="B12" t="s">
        <v>15</v>
      </c>
      <c r="C12" s="5">
        <v>110</v>
      </c>
      <c r="D12" s="6">
        <v>100</v>
      </c>
      <c r="E12" s="6">
        <v>280</v>
      </c>
      <c r="F12" s="8">
        <v>547</v>
      </c>
      <c r="G12" s="8"/>
      <c r="H12" s="8">
        <v>1000</v>
      </c>
      <c r="I12" s="8">
        <f>513+3</f>
        <v>516</v>
      </c>
    </row>
    <row r="13" spans="1:9" x14ac:dyDescent="0.25">
      <c r="A13">
        <v>2023</v>
      </c>
      <c r="B13" t="s">
        <v>16</v>
      </c>
      <c r="C13" s="9">
        <v>143</v>
      </c>
      <c r="D13" s="10">
        <v>10</v>
      </c>
      <c r="E13" s="10">
        <v>6565</v>
      </c>
      <c r="F13" s="11">
        <v>3650</v>
      </c>
      <c r="G13" s="11">
        <v>32</v>
      </c>
      <c r="H13" s="11">
        <v>2061</v>
      </c>
      <c r="I13" s="11">
        <f>6037+282</f>
        <v>6319</v>
      </c>
    </row>
    <row r="14" spans="1:9" x14ac:dyDescent="0.25">
      <c r="A14">
        <v>2023</v>
      </c>
      <c r="B14" t="s">
        <v>17</v>
      </c>
      <c r="C14" s="12">
        <f t="shared" ref="C14:E14" si="0">SUM(C6:C13)</f>
        <v>353</v>
      </c>
      <c r="D14" s="13">
        <f t="shared" si="0"/>
        <v>319</v>
      </c>
      <c r="E14" s="13">
        <f t="shared" si="0"/>
        <v>7260</v>
      </c>
      <c r="F14" s="12">
        <f t="shared" ref="F14:G14" si="1">SUM(F2:F13)</f>
        <v>7759</v>
      </c>
      <c r="G14" s="13">
        <f t="shared" si="1"/>
        <v>177</v>
      </c>
      <c r="H14" s="13">
        <f>SUM(H2:H13)</f>
        <v>6061</v>
      </c>
      <c r="I14" s="13">
        <f t="shared" ref="I14" si="2">SUM(I2:I13)</f>
        <v>7603</v>
      </c>
    </row>
    <row r="15" spans="1:9" x14ac:dyDescent="0.25">
      <c r="A15">
        <v>2024</v>
      </c>
      <c r="B15" t="s">
        <v>5</v>
      </c>
      <c r="C15" s="2"/>
      <c r="D15" s="2"/>
      <c r="E15" s="2"/>
      <c r="F15" s="4"/>
      <c r="G15" s="4"/>
      <c r="H15" s="4"/>
      <c r="I15" s="4"/>
    </row>
    <row r="16" spans="1:9" x14ac:dyDescent="0.25">
      <c r="A16">
        <v>2024</v>
      </c>
      <c r="B16" t="s">
        <v>6</v>
      </c>
      <c r="C16" s="6"/>
      <c r="D16" s="6"/>
      <c r="E16" s="6"/>
      <c r="F16" s="8"/>
      <c r="G16" s="8"/>
      <c r="H16" s="8"/>
      <c r="I16" s="8"/>
    </row>
    <row r="17" spans="1:9" x14ac:dyDescent="0.25">
      <c r="A17">
        <v>2024</v>
      </c>
      <c r="B17" t="s">
        <v>7</v>
      </c>
      <c r="C17" s="6"/>
      <c r="D17" s="6"/>
      <c r="E17" s="6"/>
      <c r="F17" s="8"/>
      <c r="G17" s="8"/>
      <c r="H17" s="8"/>
      <c r="I17" s="8"/>
    </row>
    <row r="18" spans="1:9" x14ac:dyDescent="0.25">
      <c r="A18">
        <v>2024</v>
      </c>
      <c r="B18" t="s">
        <v>8</v>
      </c>
      <c r="C18" s="8"/>
      <c r="D18" s="8"/>
      <c r="E18" s="8"/>
      <c r="F18" s="8"/>
      <c r="G18" s="8"/>
      <c r="H18" s="8"/>
      <c r="I18" s="8"/>
    </row>
    <row r="19" spans="1:9" x14ac:dyDescent="0.25">
      <c r="A19">
        <v>2024</v>
      </c>
      <c r="B19" t="s">
        <v>9</v>
      </c>
      <c r="C19" s="6"/>
      <c r="D19" s="6"/>
      <c r="E19" s="6"/>
      <c r="F19" s="8">
        <f>30+20</f>
        <v>50</v>
      </c>
      <c r="G19" s="8"/>
      <c r="H19" s="8"/>
      <c r="I19" s="8"/>
    </row>
    <row r="20" spans="1:9" x14ac:dyDescent="0.25">
      <c r="A20">
        <v>2024</v>
      </c>
      <c r="B20" t="s">
        <v>10</v>
      </c>
      <c r="C20" s="6">
        <v>68</v>
      </c>
      <c r="D20" s="6"/>
      <c r="E20" s="6">
        <v>210</v>
      </c>
      <c r="F20" s="8"/>
      <c r="G20" s="8"/>
      <c r="H20" s="8"/>
      <c r="I20" s="8">
        <v>135</v>
      </c>
    </row>
    <row r="21" spans="1:9" x14ac:dyDescent="0.25">
      <c r="A21">
        <v>2024</v>
      </c>
      <c r="B21" t="s">
        <v>11</v>
      </c>
      <c r="C21" s="6"/>
      <c r="D21" s="6"/>
      <c r="E21" s="6"/>
      <c r="F21" s="8"/>
      <c r="G21" s="8"/>
      <c r="H21" s="8"/>
      <c r="I21" s="8"/>
    </row>
    <row r="22" spans="1:9" x14ac:dyDescent="0.25">
      <c r="A22">
        <v>2024</v>
      </c>
      <c r="B22" t="s">
        <v>12</v>
      </c>
      <c r="C22" s="8"/>
      <c r="D22" s="8"/>
      <c r="E22" s="8"/>
      <c r="F22" s="8"/>
      <c r="G22" s="8"/>
      <c r="H22" s="8"/>
      <c r="I22" s="8"/>
    </row>
    <row r="23" spans="1:9" x14ac:dyDescent="0.25">
      <c r="A23">
        <v>2024</v>
      </c>
      <c r="B23" t="s">
        <v>13</v>
      </c>
      <c r="C23" s="8"/>
      <c r="D23" s="8"/>
      <c r="E23" s="8"/>
      <c r="F23" s="8"/>
      <c r="G23" s="8"/>
      <c r="H23" s="8"/>
      <c r="I23" s="8"/>
    </row>
    <row r="24" spans="1:9" x14ac:dyDescent="0.25">
      <c r="A24">
        <v>2024</v>
      </c>
      <c r="B24" t="s">
        <v>14</v>
      </c>
      <c r="C24" s="6">
        <v>15</v>
      </c>
      <c r="D24" s="8">
        <f>D27-D26</f>
        <v>160</v>
      </c>
      <c r="E24" s="6">
        <v>205</v>
      </c>
      <c r="F24" s="8">
        <f>2580+85+1800+1+70</f>
        <v>4536</v>
      </c>
      <c r="G24" s="8">
        <v>200</v>
      </c>
      <c r="H24" s="8">
        <v>2586</v>
      </c>
      <c r="I24" s="8">
        <v>625</v>
      </c>
    </row>
    <row r="25" spans="1:9" x14ac:dyDescent="0.25">
      <c r="A25">
        <v>2024</v>
      </c>
      <c r="B25" t="s">
        <v>15</v>
      </c>
      <c r="C25" s="6">
        <v>111</v>
      </c>
      <c r="D25" s="6"/>
      <c r="E25" s="6">
        <v>280</v>
      </c>
      <c r="F25" s="8">
        <f>10+360+300</f>
        <v>670</v>
      </c>
      <c r="G25" s="8">
        <v>20</v>
      </c>
      <c r="H25" s="8">
        <v>1000</v>
      </c>
      <c r="I25" s="8">
        <v>515</v>
      </c>
    </row>
    <row r="26" spans="1:9" x14ac:dyDescent="0.25">
      <c r="A26">
        <v>2024</v>
      </c>
      <c r="B26" t="s">
        <v>16</v>
      </c>
      <c r="C26" s="10">
        <v>259</v>
      </c>
      <c r="D26" s="10">
        <v>50</v>
      </c>
      <c r="E26" s="10">
        <v>6459</v>
      </c>
      <c r="F26" s="11">
        <f>1158+920+79+158.5</f>
        <v>2315.5</v>
      </c>
      <c r="G26" s="11">
        <v>25</v>
      </c>
      <c r="H26" s="11">
        <v>1154</v>
      </c>
      <c r="I26" s="11">
        <v>6329</v>
      </c>
    </row>
    <row r="27" spans="1:9" x14ac:dyDescent="0.25">
      <c r="A27">
        <v>2024</v>
      </c>
      <c r="B27" t="s">
        <v>17</v>
      </c>
      <c r="C27" s="12">
        <f t="shared" ref="C27" si="3">SUM(C19:C26)</f>
        <v>453</v>
      </c>
      <c r="D27" s="13">
        <v>210</v>
      </c>
      <c r="E27" s="13">
        <f t="shared" ref="E27" si="4">SUM(E19:E26)</f>
        <v>7154</v>
      </c>
      <c r="F27" s="12">
        <f t="shared" ref="F27" si="5">SUM(F15:F26)</f>
        <v>7571.5</v>
      </c>
      <c r="G27" s="13">
        <v>245</v>
      </c>
      <c r="H27" s="13">
        <v>4740</v>
      </c>
      <c r="I27" s="13">
        <f t="shared" ref="I27" si="6">SUM(I15:I26)</f>
        <v>7604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2025-10-14T15:07:17Z</dcterms:modified>
</cp:coreProperties>
</file>