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Gafsa\"/>
    </mc:Choice>
  </mc:AlternateContent>
  <bookViews>
    <workbookView xWindow="0" yWindow="0" windowWidth="28800" windowHeight="12300"/>
  </bookViews>
  <sheets>
    <sheet name="زانوش" sheetId="35" r:id="rId1"/>
  </sheets>
  <definedNames>
    <definedName name="_xlnm.Print_Titles" localSheetId="0">زانوش!$1:$1</definedName>
    <definedName name="_xlnm.Print_Area" localSheetId="0">زانوش!$A$1:$F$31</definedName>
  </definedNames>
  <calcPr calcId="162913"/>
</workbook>
</file>

<file path=xl/calcChain.xml><?xml version="1.0" encoding="utf-8"?>
<calcChain xmlns="http://schemas.openxmlformats.org/spreadsheetml/2006/main">
  <c r="E10" i="35" l="1"/>
  <c r="E31" i="35" s="1"/>
</calcChain>
</file>

<file path=xl/sharedStrings.xml><?xml version="1.0" encoding="utf-8"?>
<sst xmlns="http://schemas.openxmlformats.org/spreadsheetml/2006/main" count="99" uniqueCount="67">
  <si>
    <t>ملاحظات</t>
  </si>
  <si>
    <t>البرنامج</t>
  </si>
  <si>
    <t>العناصر</t>
  </si>
  <si>
    <t>البرنامج الوطني</t>
  </si>
  <si>
    <t>BAD</t>
  </si>
  <si>
    <t>سنة الإدراج بالميزانية</t>
  </si>
  <si>
    <t xml:space="preserve"> تقدم الإنجاز 100%</t>
  </si>
  <si>
    <t>2011</t>
  </si>
  <si>
    <t>2012</t>
  </si>
  <si>
    <t>AFD</t>
  </si>
  <si>
    <t>تدعيم PDAI</t>
  </si>
  <si>
    <t xml:space="preserve">المجموع </t>
  </si>
  <si>
    <t>Piseau 2</t>
  </si>
  <si>
    <t>مشروع شمال الولاية</t>
  </si>
  <si>
    <t xml:space="preserve">حفر بئر الشطايبية- البناعسية </t>
  </si>
  <si>
    <t>حفر بئر  العزعازية بالبهلولة</t>
  </si>
  <si>
    <t xml:space="preserve"> تقدم الإنجاز 100% (1,6 غ /ل و 20 ل/ث)</t>
  </si>
  <si>
    <t xml:space="preserve"> بئر إيجابية (10 ل/ث ملوحة 3,2 غ/ل)</t>
  </si>
  <si>
    <t>تعهد المنطقة السقوية باطن زانوش (20 هك)</t>
  </si>
  <si>
    <t>تزويد منطقة العواينية بالماء الصالح للشراب</t>
  </si>
  <si>
    <t>تعهد مشروع الماء الصالح للشراب بمنشر الظواهر</t>
  </si>
  <si>
    <t>تعهد مشروع الماء الصالح للشراب أولاد دلاج</t>
  </si>
  <si>
    <t>تمديد شبكتي الماء ص ش -البهلولة AFD</t>
  </si>
  <si>
    <t>إحداث منطقة سقوية الفاريت</t>
  </si>
  <si>
    <t>تدعيم منطقة سقوية عبد الصادق</t>
  </si>
  <si>
    <t>تزويد منطقة أم العلق  بالماء الصالح للشراب</t>
  </si>
  <si>
    <t>حفر بئر بالعرعارية-القطيات- الأفاريت (300م)</t>
  </si>
  <si>
    <t>المشروع الجهوي للتنمية</t>
  </si>
  <si>
    <t xml:space="preserve">قسط عدد 2 : مد شبكة الماء الصالح للشراب بالخلايفية والجديدة  واولاد بلقاسم  والمناصرية والصوادقية </t>
  </si>
  <si>
    <t xml:space="preserve"> تقدم الإنجاز 100 %</t>
  </si>
  <si>
    <t xml:space="preserve">تزويد منطقة الجديدة الجرارة للقسط الثاني بالماء ص ش </t>
  </si>
  <si>
    <t>تزويد منطقة الجديدة الجرارة بالماء ص ش (القسط الأول)</t>
  </si>
  <si>
    <t>حفر بئر للماء الصالح للشرب بالجديدة الجرارة 2</t>
  </si>
  <si>
    <t>تهيئة مسالك فلاحية</t>
  </si>
  <si>
    <t xml:space="preserve"> تقدم الإنجاز 100% </t>
  </si>
  <si>
    <t>مد شبكة الماء الصالح للشرب العزعازية</t>
  </si>
  <si>
    <t>مد شبكة الماء الصالح للشرب بمشروع أولاد مبارك</t>
  </si>
  <si>
    <t>احداث  البئر العميقة للماء الصالح للشرب اولاد بلقاسم (500م)</t>
  </si>
  <si>
    <t>احداث منطقة للري التكميلي بباطن زانوش 200 هك</t>
  </si>
  <si>
    <t>مد شبكة لتزويد منطقة الشطايبية بالماء الصالح للشرب (1100 ساكن)</t>
  </si>
  <si>
    <t>تعهد مشروع الماء الصالح للشرب عبد الصادق (1200ساكن)</t>
  </si>
  <si>
    <t>15,9 كلم</t>
  </si>
  <si>
    <t>احداث  البئر العميقة  للماء الصالح للشرب أولاد حامد (300م)</t>
  </si>
  <si>
    <t xml:space="preserve"> تقدم الإنجاز 100%  (11ل/ث  3,2 غ/ل)</t>
  </si>
  <si>
    <t>تقدم الإنجاز 100 %  (بئر سلبية)</t>
  </si>
  <si>
    <t>إحداث بئر الجرارة 3</t>
  </si>
  <si>
    <t>إحداث بئر البناعسية</t>
  </si>
  <si>
    <t xml:space="preserve">حفر البئر العميقة باطن زانوش </t>
  </si>
  <si>
    <t>المجلس الجهوي بتمويل شركة فسفاط قفصة (القسط الثاني)</t>
  </si>
  <si>
    <t>11,5 كلم</t>
  </si>
  <si>
    <t>حفر بئر للماء الصالح للشرب بالجديدة الحصب  (400م)</t>
  </si>
  <si>
    <t xml:space="preserve"> تقدم الإنجاز 100% (9 ل/ث ملوحة 2 غ/ل)</t>
  </si>
  <si>
    <r>
      <rPr>
        <b/>
        <sz val="11"/>
        <rFont val="Arial"/>
        <family val="2"/>
      </rPr>
      <t>القسط عدد 1  : تقدم الإنجاز 100</t>
    </r>
    <r>
      <rPr>
        <b/>
        <sz val="11"/>
        <rFont val="Calibri"/>
        <family val="2"/>
      </rPr>
      <t>%</t>
    </r>
    <r>
      <rPr>
        <sz val="11"/>
        <rFont val="Arial"/>
        <family val="2"/>
      </rPr>
      <t xml:space="preserve">(  </t>
    </r>
    <r>
      <rPr>
        <b/>
        <sz val="11"/>
        <rFont val="Calibri"/>
        <family val="2"/>
      </rPr>
      <t>4,3</t>
    </r>
    <r>
      <rPr>
        <sz val="11"/>
        <rFont val="Calibri"/>
        <family val="2"/>
      </rPr>
      <t xml:space="preserve"> كلم مسلك بئر الزلوف - العلايفية ، </t>
    </r>
    <r>
      <rPr>
        <b/>
        <sz val="11"/>
        <rFont val="Calibri"/>
        <family val="2"/>
      </rPr>
      <t>3,2</t>
    </r>
    <r>
      <rPr>
        <sz val="11"/>
        <rFont val="Calibri"/>
        <family val="2"/>
      </rPr>
      <t xml:space="preserve"> كلم مسلك زانوش-  عظلة القراف  و </t>
    </r>
    <r>
      <rPr>
        <b/>
        <sz val="11"/>
        <rFont val="Calibri"/>
        <family val="2"/>
      </rPr>
      <t>4,4</t>
    </r>
    <r>
      <rPr>
        <sz val="11"/>
        <rFont val="Calibri"/>
        <family val="2"/>
      </rPr>
      <t xml:space="preserve"> كلم مسلك أم العلق - سوايسية  و </t>
    </r>
    <r>
      <rPr>
        <b/>
        <sz val="11"/>
        <rFont val="Calibri"/>
        <family val="2"/>
      </rPr>
      <t>4</t>
    </r>
    <r>
      <rPr>
        <sz val="11"/>
        <rFont val="Calibri"/>
        <family val="2"/>
      </rPr>
      <t xml:space="preserve"> كلم مسلك أم العلق - الهبايلية</t>
    </r>
  </si>
  <si>
    <r>
      <rPr>
        <b/>
        <sz val="11"/>
        <rFont val="Arial"/>
        <family val="2"/>
      </rPr>
      <t xml:space="preserve">تقدم الإنجاز 100 </t>
    </r>
    <r>
      <rPr>
        <b/>
        <sz val="11"/>
        <rFont val="Calibri"/>
        <family val="2"/>
      </rPr>
      <t>%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(  </t>
    </r>
    <r>
      <rPr>
        <b/>
        <sz val="11"/>
        <rFont val="Calibri"/>
        <family val="2"/>
      </rPr>
      <t>7,5</t>
    </r>
    <r>
      <rPr>
        <sz val="11"/>
        <rFont val="Calibri"/>
        <family val="2"/>
      </rPr>
      <t xml:space="preserve"> كلم مسلك في اتجاه زانوش- الثلايجية و </t>
    </r>
    <r>
      <rPr>
        <b/>
        <sz val="11"/>
        <rFont val="Calibri"/>
        <family val="2"/>
      </rPr>
      <t>4</t>
    </r>
    <r>
      <rPr>
        <sz val="11"/>
        <rFont val="Calibri"/>
        <family val="2"/>
      </rPr>
      <t xml:space="preserve"> كلم مسلك زانوش في اتجاه القطيات )</t>
    </r>
  </si>
  <si>
    <t>9,4 كلم</t>
  </si>
  <si>
    <t xml:space="preserve">تهيئة مسالك فلاحية داخل المناطق السقوية (non butimé) </t>
  </si>
  <si>
    <t>ألغي ماء غير صالح للشرب</t>
  </si>
  <si>
    <t xml:space="preserve"> تقدم الإنجاز 100% (في انتظار خلاص الدين لدى STEG لتجربة الشبكة)</t>
  </si>
  <si>
    <t xml:space="preserve"> تقدم الإنجاز 100% (وفي انتظار التجربة بمولد كهربائي)</t>
  </si>
  <si>
    <t xml:space="preserve"> تقدم الإنجاز 100%(بئر سلبية)</t>
  </si>
  <si>
    <t xml:space="preserve"> تقدم الإنجاز 100% (10ل/ث  2 غ/ل)</t>
  </si>
  <si>
    <t xml:space="preserve"> تقدم الإنجاز 100% (6 ل/ث  و الملوحة 2,5 غ/ل)</t>
  </si>
  <si>
    <t xml:space="preserve">تم التخلي عن تمويل المشروع بعد تحليل المياه (لا يمكن تمويله من طرف  BAD)وتمت برمجة البئر للري التكميلي </t>
  </si>
  <si>
    <t xml:space="preserve"> تقدم الإنجاز 100%(5ل/ث, 3,5غ/ل)</t>
  </si>
  <si>
    <r>
      <rPr>
        <b/>
        <sz val="10"/>
        <rFont val="Arial"/>
        <family val="2"/>
      </rPr>
      <t>تقدم الإنجاز : 80</t>
    </r>
    <r>
      <rPr>
        <b/>
        <sz val="10"/>
        <rFont val="Calibri"/>
        <family val="2"/>
      </rPr>
      <t>%</t>
    </r>
    <r>
      <rPr>
        <sz val="10"/>
        <rFont val="Arial"/>
        <family val="2"/>
      </rPr>
      <t>(</t>
    </r>
    <r>
      <rPr>
        <b/>
        <sz val="10"/>
        <rFont val="Arial"/>
        <family val="2"/>
      </rPr>
      <t>3,3</t>
    </r>
    <r>
      <rPr>
        <sz val="10"/>
        <rFont val="Arial"/>
        <family val="2"/>
      </rPr>
      <t xml:space="preserve"> كلم بمنطقة عبد الصادق - 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كلم بهنشير لفراح - </t>
    </r>
    <r>
      <rPr>
        <b/>
        <sz val="10"/>
        <rFont val="Arial"/>
        <family val="2"/>
      </rPr>
      <t>0,7</t>
    </r>
    <r>
      <rPr>
        <sz val="10"/>
        <rFont val="Arial"/>
        <family val="2"/>
      </rPr>
      <t xml:space="preserve"> كلم بمقسم السند - </t>
    </r>
    <r>
      <rPr>
        <b/>
        <sz val="10"/>
        <rFont val="Arial"/>
        <family val="2"/>
      </rPr>
      <t>2,2</t>
    </r>
    <r>
      <rPr>
        <sz val="10"/>
        <rFont val="Arial"/>
        <family val="2"/>
      </rPr>
      <t xml:space="preserve"> كلم ببوشمال - </t>
    </r>
    <r>
      <rPr>
        <b/>
        <sz val="10"/>
        <rFont val="Arial"/>
        <family val="2"/>
      </rPr>
      <t>1,2</t>
    </r>
    <r>
      <rPr>
        <sz val="10"/>
        <rFont val="Arial"/>
        <family val="2"/>
      </rPr>
      <t xml:space="preserve"> كلم بزانوش)</t>
    </r>
  </si>
  <si>
    <t>المحتوى المادي</t>
  </si>
  <si>
    <t>المحتوى المالي (أد)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</si>
</sst>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€_-;\-* #,##0.00\ _€_-;_-* &quot;-&quot;??\ _€_-;_-@_-"/>
  </numFmts>
  <fonts count="27" x14ac:knownFonts="1">
    <font>
      <sz val="11"/>
      <color theme="1"/>
      <name val="Calibri"/>
      <family val="2"/>
      <scheme val="minor"/>
    </font>
    <font>
      <b/>
      <sz val="12"/>
      <color theme="1"/>
      <name val="Arabic Transparent"/>
      <charset val="17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Arabic Transparent"/>
      <charset val="178"/>
    </font>
    <font>
      <sz val="12"/>
      <color theme="1"/>
      <name val="Arabic Transparent"/>
      <charset val="178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Times New Roman"/>
      <family val="1"/>
    </font>
    <font>
      <b/>
      <sz val="13"/>
      <color theme="1"/>
      <name val="Arabic Transparent"/>
      <charset val="178"/>
    </font>
    <font>
      <b/>
      <sz val="12"/>
      <color indexed="8"/>
      <name val="Times New Roman"/>
      <family val="1"/>
    </font>
    <font>
      <b/>
      <sz val="15"/>
      <color theme="1"/>
      <name val="Arabic Transparent"/>
      <charset val="178"/>
    </font>
    <font>
      <sz val="11"/>
      <name val="Calibri"/>
      <family val="2"/>
      <scheme val="minor"/>
    </font>
    <font>
      <b/>
      <sz val="12"/>
      <name val="Arabic Transparent"/>
      <charset val="178"/>
    </font>
    <font>
      <sz val="13"/>
      <name val="Calibri"/>
      <family val="2"/>
      <scheme val="minor"/>
    </font>
    <font>
      <b/>
      <sz val="11"/>
      <name val="Calibri"/>
      <family val="2"/>
      <scheme val="minor"/>
    </font>
    <font>
      <sz val="13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name val="Arabic Transparent"/>
      <charset val="178"/>
    </font>
    <font>
      <b/>
      <sz val="11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Border="1" applyAlignment="1">
      <alignment horizontal="center" vertical="center" wrapText="1" readingOrder="2"/>
    </xf>
    <xf numFmtId="0" fontId="0" fillId="2" borderId="0" xfId="0" applyFill="1" applyAlignment="1">
      <alignment vertical="center" wrapText="1"/>
    </xf>
    <xf numFmtId="3" fontId="1" fillId="2" borderId="0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 readingOrder="2"/>
    </xf>
    <xf numFmtId="0" fontId="5" fillId="2" borderId="0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3" fontId="0" fillId="2" borderId="0" xfId="0" applyNumberFormat="1" applyFill="1" applyAlignment="1">
      <alignment vertical="center" wrapText="1"/>
    </xf>
    <xf numFmtId="9" fontId="23" fillId="2" borderId="0" xfId="0" applyNumberFormat="1" applyFont="1" applyFill="1" applyBorder="1" applyAlignment="1">
      <alignment horizontal="center" vertical="center" wrapText="1" readingOrder="2"/>
    </xf>
    <xf numFmtId="0" fontId="14" fillId="2" borderId="0" xfId="0" applyFont="1" applyFill="1" applyAlignment="1">
      <alignment vertical="center" wrapText="1"/>
    </xf>
    <xf numFmtId="0" fontId="0" fillId="0" borderId="0" xfId="0" applyNumberFormat="1" applyAlignment="1">
      <alignment vertical="center" wrapText="1" readingOrder="2"/>
    </xf>
    <xf numFmtId="0" fontId="0" fillId="0" borderId="0" xfId="0" applyFill="1" applyAlignment="1">
      <alignment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3" fontId="12" fillId="0" borderId="1" xfId="1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 readingOrder="2"/>
    </xf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 readingOrder="2"/>
    </xf>
    <xf numFmtId="1" fontId="8" fillId="0" borderId="1" xfId="0" applyNumberFormat="1" applyFont="1" applyFill="1" applyBorder="1" applyAlignment="1">
      <alignment horizontal="center" vertical="center" wrapText="1" readingOrder="2"/>
    </xf>
    <xf numFmtId="0" fontId="9" fillId="0" borderId="1" xfId="0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 readingOrder="2"/>
    </xf>
    <xf numFmtId="0" fontId="7" fillId="0" borderId="1" xfId="0" applyFont="1" applyFill="1" applyBorder="1" applyAlignment="1">
      <alignment horizontal="center" vertical="center" wrapText="1" readingOrder="2"/>
    </xf>
    <xf numFmtId="0" fontId="19" fillId="0" borderId="1" xfId="0" applyFont="1" applyFill="1" applyBorder="1" applyAlignment="1">
      <alignment horizontal="center" vertical="center" wrapText="1" readingOrder="2"/>
    </xf>
    <xf numFmtId="0" fontId="0" fillId="0" borderId="1" xfId="0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right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 readingOrder="2"/>
    </xf>
    <xf numFmtId="0" fontId="11" fillId="0" borderId="1" xfId="0" applyFont="1" applyFill="1" applyBorder="1" applyAlignment="1">
      <alignment horizontal="center" vertical="center" wrapText="1" readingOrder="2"/>
    </xf>
    <xf numFmtId="0" fontId="13" fillId="0" borderId="1" xfId="0" applyFont="1" applyFill="1" applyBorder="1" applyAlignment="1">
      <alignment horizontal="center" vertical="center" wrapText="1" readingOrder="2"/>
    </xf>
    <xf numFmtId="0" fontId="4" fillId="0" borderId="1" xfId="0" applyFont="1" applyFill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rightToLeft="1" tabSelected="1" workbookViewId="0">
      <selection activeCell="F51" sqref="F51"/>
    </sheetView>
  </sheetViews>
  <sheetFormatPr baseColWidth="10" defaultRowHeight="15" x14ac:dyDescent="0.25"/>
  <cols>
    <col min="1" max="1" width="9" style="7" customWidth="1"/>
    <col min="2" max="2" width="32.7109375" style="3" customWidth="1"/>
    <col min="3" max="3" width="13.85546875" style="7" customWidth="1"/>
    <col min="4" max="4" width="6" style="3" customWidth="1"/>
    <col min="5" max="5" width="10.5703125" style="8" customWidth="1"/>
    <col min="6" max="6" width="30.85546875" style="10" customWidth="1"/>
    <col min="7" max="7" width="11.42578125" style="1"/>
    <col min="8" max="8" width="11.5703125" style="1" customWidth="1"/>
    <col min="9" max="16384" width="11.42578125" style="1"/>
  </cols>
  <sheetData>
    <row r="1" spans="1:7" ht="27.75" customHeight="1" x14ac:dyDescent="0.25">
      <c r="A1" s="38" t="s">
        <v>5</v>
      </c>
      <c r="B1" s="37" t="s">
        <v>2</v>
      </c>
      <c r="C1" s="37" t="s">
        <v>1</v>
      </c>
      <c r="D1" s="37" t="s">
        <v>65</v>
      </c>
      <c r="E1" s="22" t="s">
        <v>66</v>
      </c>
      <c r="F1" s="37" t="s">
        <v>0</v>
      </c>
    </row>
    <row r="2" spans="1:7" ht="32.25" customHeight="1" x14ac:dyDescent="0.25">
      <c r="A2" s="23">
        <v>2011</v>
      </c>
      <c r="B2" s="17" t="s">
        <v>14</v>
      </c>
      <c r="C2" s="18" t="s">
        <v>9</v>
      </c>
      <c r="D2" s="24">
        <v>1</v>
      </c>
      <c r="E2" s="34">
        <v>136.05000000000001</v>
      </c>
      <c r="F2" s="21" t="s">
        <v>6</v>
      </c>
    </row>
    <row r="3" spans="1:7" ht="38.25" customHeight="1" x14ac:dyDescent="0.25">
      <c r="A3" s="23">
        <v>2012</v>
      </c>
      <c r="B3" s="35" t="s">
        <v>15</v>
      </c>
      <c r="C3" s="5" t="s">
        <v>12</v>
      </c>
      <c r="D3" s="24">
        <v>1</v>
      </c>
      <c r="E3" s="34">
        <v>158.315</v>
      </c>
      <c r="F3" s="21" t="s">
        <v>16</v>
      </c>
    </row>
    <row r="4" spans="1:7" ht="40.5" customHeight="1" x14ac:dyDescent="0.25">
      <c r="A4" s="13" t="s">
        <v>7</v>
      </c>
      <c r="B4" s="31" t="s">
        <v>47</v>
      </c>
      <c r="C4" s="18" t="s">
        <v>10</v>
      </c>
      <c r="D4" s="14">
        <v>1</v>
      </c>
      <c r="E4" s="14">
        <v>119.4</v>
      </c>
      <c r="F4" s="32" t="s">
        <v>17</v>
      </c>
    </row>
    <row r="5" spans="1:7" ht="31.5" customHeight="1" x14ac:dyDescent="0.25">
      <c r="A5" s="13" t="s">
        <v>7</v>
      </c>
      <c r="B5" s="29" t="s">
        <v>18</v>
      </c>
      <c r="C5" s="5" t="s">
        <v>12</v>
      </c>
      <c r="D5" s="14">
        <v>1</v>
      </c>
      <c r="E5" s="14">
        <v>297</v>
      </c>
      <c r="F5" s="21" t="s">
        <v>6</v>
      </c>
    </row>
    <row r="6" spans="1:7" ht="45.75" customHeight="1" x14ac:dyDescent="0.25">
      <c r="A6" s="13" t="s">
        <v>8</v>
      </c>
      <c r="B6" s="29" t="s">
        <v>19</v>
      </c>
      <c r="C6" s="13" t="s">
        <v>4</v>
      </c>
      <c r="D6" s="13">
        <v>1</v>
      </c>
      <c r="E6" s="14">
        <v>978</v>
      </c>
      <c r="F6" s="21" t="s">
        <v>57</v>
      </c>
    </row>
    <row r="7" spans="1:7" ht="39" customHeight="1" x14ac:dyDescent="0.25">
      <c r="A7" s="19">
        <v>2012</v>
      </c>
      <c r="B7" s="27" t="s">
        <v>20</v>
      </c>
      <c r="C7" s="30" t="s">
        <v>4</v>
      </c>
      <c r="D7" s="24">
        <v>1</v>
      </c>
      <c r="E7" s="14">
        <v>245</v>
      </c>
      <c r="F7" s="21" t="s">
        <v>6</v>
      </c>
    </row>
    <row r="8" spans="1:7" ht="44.25" customHeight="1" x14ac:dyDescent="0.25">
      <c r="A8" s="19">
        <v>2012</v>
      </c>
      <c r="B8" s="27" t="s">
        <v>21</v>
      </c>
      <c r="C8" s="30" t="s">
        <v>4</v>
      </c>
      <c r="D8" s="24">
        <v>1</v>
      </c>
      <c r="E8" s="14">
        <v>982.5</v>
      </c>
      <c r="F8" s="21" t="s">
        <v>34</v>
      </c>
    </row>
    <row r="9" spans="1:7" ht="29.25" customHeight="1" x14ac:dyDescent="0.25">
      <c r="A9" s="19">
        <v>2012</v>
      </c>
      <c r="B9" s="17" t="s">
        <v>22</v>
      </c>
      <c r="C9" s="18" t="s">
        <v>9</v>
      </c>
      <c r="D9" s="24">
        <v>1</v>
      </c>
      <c r="E9" s="14">
        <v>122.45</v>
      </c>
      <c r="F9" s="21" t="s">
        <v>6</v>
      </c>
    </row>
    <row r="10" spans="1:7" ht="30.75" customHeight="1" x14ac:dyDescent="0.25">
      <c r="A10" s="19">
        <v>2012</v>
      </c>
      <c r="B10" s="17" t="s">
        <v>23</v>
      </c>
      <c r="C10" s="30" t="s">
        <v>3</v>
      </c>
      <c r="D10" s="24">
        <v>1</v>
      </c>
      <c r="E10" s="34">
        <f>330+47.13626</f>
        <v>377.13625999999999</v>
      </c>
      <c r="F10" s="21" t="s">
        <v>6</v>
      </c>
    </row>
    <row r="11" spans="1:7" ht="31.5" customHeight="1" x14ac:dyDescent="0.25">
      <c r="A11" s="19">
        <v>2012</v>
      </c>
      <c r="B11" s="17" t="s">
        <v>24</v>
      </c>
      <c r="C11" s="30" t="s">
        <v>3</v>
      </c>
      <c r="D11" s="24">
        <v>1</v>
      </c>
      <c r="E11" s="34">
        <v>156.66999999999999</v>
      </c>
      <c r="F11" s="21" t="s">
        <v>6</v>
      </c>
    </row>
    <row r="12" spans="1:7" ht="39.75" customHeight="1" x14ac:dyDescent="0.25">
      <c r="A12" s="19">
        <v>2012</v>
      </c>
      <c r="B12" s="17" t="s">
        <v>25</v>
      </c>
      <c r="C12" s="30" t="s">
        <v>4</v>
      </c>
      <c r="D12" s="24">
        <v>1</v>
      </c>
      <c r="E12" s="14">
        <v>1486</v>
      </c>
      <c r="F12" s="21" t="s">
        <v>58</v>
      </c>
    </row>
    <row r="13" spans="1:7" ht="54.75" customHeight="1" x14ac:dyDescent="0.25">
      <c r="A13" s="19">
        <v>2014</v>
      </c>
      <c r="B13" s="17" t="s">
        <v>50</v>
      </c>
      <c r="C13" s="18" t="s">
        <v>13</v>
      </c>
      <c r="D13" s="24">
        <v>1</v>
      </c>
      <c r="E13" s="14">
        <v>433.1</v>
      </c>
      <c r="F13" s="21" t="s">
        <v>60</v>
      </c>
      <c r="G13" s="12"/>
    </row>
    <row r="14" spans="1:7" ht="44.25" customHeight="1" x14ac:dyDescent="0.25">
      <c r="A14" s="19">
        <v>2014</v>
      </c>
      <c r="B14" s="17" t="s">
        <v>26</v>
      </c>
      <c r="C14" s="18" t="s">
        <v>13</v>
      </c>
      <c r="D14" s="24">
        <v>1</v>
      </c>
      <c r="E14" s="14">
        <v>307.7</v>
      </c>
      <c r="F14" s="21" t="s">
        <v>43</v>
      </c>
    </row>
    <row r="15" spans="1:7" ht="41.25" customHeight="1" x14ac:dyDescent="0.25">
      <c r="A15" s="19">
        <v>2011</v>
      </c>
      <c r="B15" s="17" t="s">
        <v>31</v>
      </c>
      <c r="C15" s="33" t="s">
        <v>27</v>
      </c>
      <c r="D15" s="19">
        <v>1</v>
      </c>
      <c r="E15" s="20">
        <v>249.511</v>
      </c>
      <c r="F15" s="21" t="s">
        <v>6</v>
      </c>
    </row>
    <row r="16" spans="1:7" ht="34.5" customHeight="1" x14ac:dyDescent="0.25">
      <c r="A16" s="19">
        <v>2014</v>
      </c>
      <c r="B16" s="17" t="s">
        <v>30</v>
      </c>
      <c r="C16" s="33" t="s">
        <v>27</v>
      </c>
      <c r="D16" s="19">
        <v>1</v>
      </c>
      <c r="E16" s="20">
        <v>500</v>
      </c>
      <c r="F16" s="21" t="s">
        <v>6</v>
      </c>
    </row>
    <row r="17" spans="1:11" ht="53.25" customHeight="1" x14ac:dyDescent="0.25">
      <c r="A17" s="19">
        <v>2013</v>
      </c>
      <c r="B17" s="17" t="s">
        <v>28</v>
      </c>
      <c r="C17" s="33" t="s">
        <v>27</v>
      </c>
      <c r="D17" s="19">
        <v>1</v>
      </c>
      <c r="E17" s="20">
        <v>222.666</v>
      </c>
      <c r="F17" s="21" t="s">
        <v>6</v>
      </c>
    </row>
    <row r="18" spans="1:11" ht="36.75" customHeight="1" x14ac:dyDescent="0.25">
      <c r="A18" s="19">
        <v>2015</v>
      </c>
      <c r="B18" s="17" t="s">
        <v>32</v>
      </c>
      <c r="C18" s="16" t="s">
        <v>3</v>
      </c>
      <c r="D18" s="19">
        <v>1</v>
      </c>
      <c r="E18" s="20">
        <v>403.75</v>
      </c>
      <c r="F18" s="21" t="s">
        <v>44</v>
      </c>
    </row>
    <row r="19" spans="1:11" ht="36.75" customHeight="1" x14ac:dyDescent="0.25">
      <c r="A19" s="19">
        <v>2015</v>
      </c>
      <c r="B19" s="17" t="s">
        <v>35</v>
      </c>
      <c r="C19" s="33" t="s">
        <v>27</v>
      </c>
      <c r="D19" s="19">
        <v>1</v>
      </c>
      <c r="E19" s="20">
        <v>500</v>
      </c>
      <c r="F19" s="21" t="s">
        <v>6</v>
      </c>
    </row>
    <row r="20" spans="1:11" ht="38.25" customHeight="1" x14ac:dyDescent="0.25">
      <c r="A20" s="19">
        <v>2015</v>
      </c>
      <c r="B20" s="17" t="s">
        <v>36</v>
      </c>
      <c r="C20" s="33" t="s">
        <v>27</v>
      </c>
      <c r="D20" s="19">
        <v>1</v>
      </c>
      <c r="E20" s="20">
        <v>500</v>
      </c>
      <c r="F20" s="21" t="s">
        <v>6</v>
      </c>
    </row>
    <row r="21" spans="1:11" ht="60" customHeight="1" x14ac:dyDescent="0.25">
      <c r="A21" s="19">
        <v>2015</v>
      </c>
      <c r="B21" s="17" t="s">
        <v>33</v>
      </c>
      <c r="C21" s="18" t="s">
        <v>13</v>
      </c>
      <c r="D21" s="19" t="s">
        <v>49</v>
      </c>
      <c r="E21" s="20">
        <v>1600</v>
      </c>
      <c r="F21" s="25" t="s">
        <v>53</v>
      </c>
    </row>
    <row r="22" spans="1:11" s="12" customFormat="1" ht="37.5" customHeight="1" x14ac:dyDescent="0.25">
      <c r="A22" s="36">
        <v>2016</v>
      </c>
      <c r="B22" s="16" t="s">
        <v>38</v>
      </c>
      <c r="C22" s="18" t="s">
        <v>3</v>
      </c>
      <c r="D22" s="19">
        <v>1</v>
      </c>
      <c r="E22" s="20">
        <v>426.07558</v>
      </c>
      <c r="F22" s="21" t="s">
        <v>29</v>
      </c>
    </row>
    <row r="23" spans="1:11" ht="48" customHeight="1" x14ac:dyDescent="0.25">
      <c r="A23" s="36">
        <v>2016</v>
      </c>
      <c r="B23" s="16" t="s">
        <v>39</v>
      </c>
      <c r="C23" s="18" t="s">
        <v>3</v>
      </c>
      <c r="D23" s="19">
        <v>1</v>
      </c>
      <c r="E23" s="19">
        <v>1300</v>
      </c>
      <c r="F23" s="21" t="s">
        <v>62</v>
      </c>
    </row>
    <row r="24" spans="1:11" ht="50.25" customHeight="1" x14ac:dyDescent="0.25">
      <c r="A24" s="36">
        <v>2016</v>
      </c>
      <c r="B24" s="16" t="s">
        <v>40</v>
      </c>
      <c r="C24" s="18" t="s">
        <v>3</v>
      </c>
      <c r="D24" s="19">
        <v>1</v>
      </c>
      <c r="E24" s="19">
        <v>1000</v>
      </c>
      <c r="F24" s="16" t="s">
        <v>56</v>
      </c>
    </row>
    <row r="25" spans="1:11" ht="37.5" customHeight="1" x14ac:dyDescent="0.25">
      <c r="A25" s="36">
        <v>2016</v>
      </c>
      <c r="B25" s="16" t="s">
        <v>42</v>
      </c>
      <c r="C25" s="18" t="s">
        <v>13</v>
      </c>
      <c r="D25" s="19">
        <v>1</v>
      </c>
      <c r="E25" s="19">
        <v>230</v>
      </c>
      <c r="F25" s="21" t="s">
        <v>61</v>
      </c>
    </row>
    <row r="26" spans="1:11" ht="37.5" customHeight="1" x14ac:dyDescent="0.25">
      <c r="A26" s="36">
        <v>2016</v>
      </c>
      <c r="B26" s="16" t="s">
        <v>37</v>
      </c>
      <c r="C26" s="18" t="s">
        <v>3</v>
      </c>
      <c r="D26" s="19">
        <v>1</v>
      </c>
      <c r="E26" s="19">
        <v>593</v>
      </c>
      <c r="F26" s="21" t="s">
        <v>51</v>
      </c>
    </row>
    <row r="27" spans="1:11" ht="96.75" customHeight="1" x14ac:dyDescent="0.25">
      <c r="A27" s="19">
        <v>2016</v>
      </c>
      <c r="B27" s="17" t="s">
        <v>33</v>
      </c>
      <c r="C27" s="18" t="s">
        <v>3</v>
      </c>
      <c r="D27" s="19" t="s">
        <v>41</v>
      </c>
      <c r="E27" s="20">
        <v>2300</v>
      </c>
      <c r="F27" s="25" t="s">
        <v>52</v>
      </c>
    </row>
    <row r="28" spans="1:11" ht="38.25" customHeight="1" x14ac:dyDescent="0.25">
      <c r="A28" s="19">
        <v>2017</v>
      </c>
      <c r="B28" s="17" t="s">
        <v>46</v>
      </c>
      <c r="C28" s="40" t="s">
        <v>48</v>
      </c>
      <c r="D28" s="19">
        <v>1</v>
      </c>
      <c r="E28" s="19">
        <v>170</v>
      </c>
      <c r="F28" s="21" t="s">
        <v>63</v>
      </c>
    </row>
    <row r="29" spans="1:11" ht="41.25" customHeight="1" x14ac:dyDescent="0.25">
      <c r="A29" s="19">
        <v>2017</v>
      </c>
      <c r="B29" s="17" t="s">
        <v>45</v>
      </c>
      <c r="C29" s="40"/>
      <c r="D29" s="19">
        <v>1</v>
      </c>
      <c r="E29" s="19">
        <v>260</v>
      </c>
      <c r="F29" s="21" t="s">
        <v>59</v>
      </c>
    </row>
    <row r="30" spans="1:11" ht="66" customHeight="1" x14ac:dyDescent="0.25">
      <c r="A30" s="36">
        <v>2017</v>
      </c>
      <c r="B30" s="17" t="s">
        <v>55</v>
      </c>
      <c r="C30" s="18" t="s">
        <v>13</v>
      </c>
      <c r="D30" s="19" t="s">
        <v>54</v>
      </c>
      <c r="E30" s="20">
        <v>900.2</v>
      </c>
      <c r="F30" s="28" t="s">
        <v>64</v>
      </c>
      <c r="K30" s="11"/>
    </row>
    <row r="31" spans="1:11" ht="29.25" customHeight="1" x14ac:dyDescent="0.25">
      <c r="A31" s="39" t="s">
        <v>11</v>
      </c>
      <c r="B31" s="39"/>
      <c r="C31" s="39"/>
      <c r="D31" s="26"/>
      <c r="E31" s="22">
        <f>SUM(E2:E30)</f>
        <v>16954.523840000002</v>
      </c>
      <c r="F31" s="15"/>
    </row>
    <row r="32" spans="1:11" s="3" customFormat="1" ht="31.5" customHeight="1" x14ac:dyDescent="0.25">
      <c r="A32" s="7"/>
      <c r="B32" s="6"/>
      <c r="C32" s="2"/>
      <c r="D32" s="2"/>
      <c r="E32" s="4"/>
      <c r="F32" s="9"/>
    </row>
  </sheetData>
  <mergeCells count="2">
    <mergeCell ref="A31:C31"/>
    <mergeCell ref="C28:C29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9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زانوش</vt:lpstr>
      <vt:lpstr>زانوش!Impression_des_titres</vt:lpstr>
      <vt:lpstr>زانوش!Zone_d_impression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</dc:creator>
  <cp:lastModifiedBy>racem</cp:lastModifiedBy>
  <cp:lastPrinted>2018-10-19T14:18:50Z</cp:lastPrinted>
  <dcterms:created xsi:type="dcterms:W3CDTF">2013-04-12T07:34:08Z</dcterms:created>
  <dcterms:modified xsi:type="dcterms:W3CDTF">2023-05-18T14:19:43Z</dcterms:modified>
</cp:coreProperties>
</file>