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Zaghouan\2025\"/>
    </mc:Choice>
  </mc:AlternateContent>
  <bookViews>
    <workbookView xWindow="0" yWindow="0" windowWidth="28800" windowHeight="12210" tabRatio="925"/>
  </bookViews>
  <sheets>
    <sheet name="Agric9" sheetId="433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Agric9!$C$1:$F$16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E8" i="433" l="1"/>
  <c r="F8" i="433"/>
  <c r="G8" i="433"/>
  <c r="H8" i="433"/>
  <c r="I8" i="433"/>
  <c r="J8" i="433"/>
  <c r="D8" i="433"/>
  <c r="J29" i="433"/>
  <c r="I29" i="433"/>
  <c r="H29" i="433"/>
  <c r="G28" i="433"/>
  <c r="G27" i="433"/>
  <c r="G26" i="433"/>
  <c r="G25" i="433"/>
  <c r="G24" i="433"/>
  <c r="G23" i="433"/>
  <c r="F29" i="433"/>
  <c r="E29" i="433"/>
  <c r="D28" i="433"/>
  <c r="D27" i="433"/>
  <c r="D26" i="433"/>
  <c r="D25" i="433"/>
  <c r="D24" i="433"/>
  <c r="D23" i="433"/>
  <c r="D29" i="433" s="1"/>
  <c r="J22" i="433"/>
  <c r="I22" i="433"/>
  <c r="H22" i="433"/>
  <c r="F22" i="433"/>
  <c r="E22" i="433"/>
  <c r="D15" i="433"/>
  <c r="F15" i="433"/>
  <c r="G15" i="433"/>
  <c r="H15" i="433"/>
  <c r="I15" i="433"/>
  <c r="J15" i="433"/>
  <c r="G29" i="433" l="1"/>
  <c r="D22" i="433"/>
  <c r="G22" i="433"/>
</calcChain>
</file>

<file path=xl/sharedStrings.xml><?xml version="1.0" encoding="utf-8"?>
<sst xmlns="http://schemas.openxmlformats.org/spreadsheetml/2006/main" count="66" uniqueCount="24">
  <si>
    <t xml:space="preserve">المجموع   </t>
  </si>
  <si>
    <t>الزريبة</t>
  </si>
  <si>
    <t>بئر مشارقة</t>
  </si>
  <si>
    <t>الفحص</t>
  </si>
  <si>
    <t>الناظور</t>
  </si>
  <si>
    <t>صواف</t>
  </si>
  <si>
    <t>زغوان</t>
  </si>
  <si>
    <t>Année</t>
  </si>
  <si>
    <t>Zaghouan</t>
  </si>
  <si>
    <t>Zriba</t>
  </si>
  <si>
    <t>Bir Mchergua</t>
  </si>
  <si>
    <t>Fahs</t>
  </si>
  <si>
    <t>Nadhour</t>
  </si>
  <si>
    <t>Saouaf</t>
  </si>
  <si>
    <t xml:space="preserve">TOTAL   </t>
  </si>
  <si>
    <t>Superficie_Maraîchage_ha</t>
  </si>
  <si>
    <t xml:space="preserve">Superficie_Cultures Industrielles_ha </t>
  </si>
  <si>
    <t>Superficie_Arboriculture_ha</t>
  </si>
  <si>
    <t>Superficie_Légumineuses_ha</t>
  </si>
  <si>
    <t>Superficie_Fourrages_ha</t>
  </si>
  <si>
    <t>Superficie_Olives_ha</t>
  </si>
  <si>
    <t>Délégation_ar</t>
  </si>
  <si>
    <t>Délégation_fr</t>
  </si>
  <si>
    <t>Superficie_céréaliculture_ha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</si>
</sst>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Arial"/>
      <family val="2"/>
      <charset val="178"/>
    </font>
    <font>
      <sz val="12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792">
    <xf numFmtId="0" fontId="0" fillId="0" borderId="0"/>
    <xf numFmtId="44" fontId="25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31" fillId="0" borderId="0" applyFont="0" applyFill="0" applyBorder="0" applyAlignment="0" applyProtection="0"/>
    <xf numFmtId="0" fontId="25" fillId="0" borderId="0"/>
    <xf numFmtId="0" fontId="11" fillId="0" borderId="0"/>
    <xf numFmtId="0" fontId="25" fillId="0" borderId="0"/>
    <xf numFmtId="0" fontId="25" fillId="0" borderId="0"/>
    <xf numFmtId="0" fontId="10" fillId="0" borderId="0"/>
    <xf numFmtId="0" fontId="9" fillId="0" borderId="0"/>
    <xf numFmtId="0" fontId="8" fillId="0" borderId="0"/>
    <xf numFmtId="0" fontId="2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25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31" fillId="0" borderId="0"/>
  </cellStyleXfs>
  <cellXfs count="46">
    <xf numFmtId="0" fontId="0" fillId="0" borderId="0" xfId="0"/>
    <xf numFmtId="0" fontId="19" fillId="0" borderId="0" xfId="782"/>
    <xf numFmtId="3" fontId="24" fillId="0" borderId="3" xfId="38" applyNumberFormat="1" applyFont="1" applyFill="1" applyBorder="1" applyAlignment="1">
      <alignment horizontal="center" vertical="center"/>
    </xf>
    <xf numFmtId="3" fontId="24" fillId="0" borderId="3" xfId="0" applyNumberFormat="1" applyFont="1" applyFill="1" applyBorder="1" applyAlignment="1">
      <alignment horizontal="center" vertical="center"/>
    </xf>
    <xf numFmtId="3" fontId="24" fillId="0" borderId="4" xfId="0" applyNumberFormat="1" applyFont="1" applyFill="1" applyBorder="1" applyAlignment="1">
      <alignment horizontal="center" vertical="center"/>
    </xf>
    <xf numFmtId="0" fontId="19" fillId="0" borderId="0" xfId="782" applyAlignment="1">
      <alignment horizontal="left"/>
    </xf>
    <xf numFmtId="3" fontId="26" fillId="0" borderId="3" xfId="0" applyNumberFormat="1" applyFont="1" applyFill="1" applyBorder="1" applyAlignment="1">
      <alignment horizontal="center" vertical="center"/>
    </xf>
    <xf numFmtId="3" fontId="24" fillId="0" borderId="4" xfId="38" applyNumberFormat="1" applyFont="1" applyFill="1" applyBorder="1" applyAlignment="1">
      <alignment horizontal="center" vertical="center"/>
    </xf>
    <xf numFmtId="0" fontId="32" fillId="0" borderId="1" xfId="782" applyFont="1" applyFill="1" applyBorder="1" applyAlignment="1">
      <alignment horizontal="center" vertical="center"/>
    </xf>
    <xf numFmtId="0" fontId="32" fillId="0" borderId="1" xfId="83" applyNumberFormat="1" applyFont="1" applyFill="1" applyBorder="1" applyAlignment="1">
      <alignment horizontal="right" vertical="center" indent="1"/>
    </xf>
    <xf numFmtId="3" fontId="33" fillId="0" borderId="1" xfId="0" applyNumberFormat="1" applyFont="1" applyFill="1" applyBorder="1" applyAlignment="1">
      <alignment horizontal="center" vertical="center"/>
    </xf>
    <xf numFmtId="3" fontId="33" fillId="0" borderId="1" xfId="38" applyNumberFormat="1" applyFont="1" applyFill="1" applyBorder="1" applyAlignment="1">
      <alignment horizontal="center" vertical="center"/>
    </xf>
    <xf numFmtId="0" fontId="32" fillId="0" borderId="2" xfId="83" applyNumberFormat="1" applyFont="1" applyFill="1" applyBorder="1" applyAlignment="1">
      <alignment horizontal="right" vertical="center" indent="1"/>
    </xf>
    <xf numFmtId="3" fontId="33" fillId="0" borderId="2" xfId="0" applyNumberFormat="1" applyFont="1" applyFill="1" applyBorder="1" applyAlignment="1">
      <alignment horizontal="center" vertical="center"/>
    </xf>
    <xf numFmtId="3" fontId="33" fillId="0" borderId="2" xfId="38" applyNumberFormat="1" applyFont="1" applyFill="1" applyBorder="1" applyAlignment="1">
      <alignment horizontal="center" vertical="center"/>
    </xf>
    <xf numFmtId="3" fontId="33" fillId="0" borderId="3" xfId="38" applyNumberFormat="1" applyFont="1" applyFill="1" applyBorder="1" applyAlignment="1">
      <alignment horizontal="center" vertical="center"/>
    </xf>
    <xf numFmtId="3" fontId="33" fillId="0" borderId="3" xfId="0" applyNumberFormat="1" applyFont="1" applyFill="1" applyBorder="1" applyAlignment="1">
      <alignment horizontal="center" vertical="center"/>
    </xf>
    <xf numFmtId="3" fontId="33" fillId="0" borderId="4" xfId="38" applyNumberFormat="1" applyFont="1" applyFill="1" applyBorder="1" applyAlignment="1">
      <alignment horizontal="center" vertical="center"/>
    </xf>
    <xf numFmtId="3" fontId="33" fillId="0" borderId="4" xfId="0" applyNumberFormat="1" applyFont="1" applyFill="1" applyBorder="1" applyAlignment="1">
      <alignment horizontal="center" vertical="center"/>
    </xf>
    <xf numFmtId="0" fontId="34" fillId="0" borderId="1" xfId="782" applyFont="1" applyBorder="1" applyAlignment="1">
      <alignment horizontal="left"/>
    </xf>
    <xf numFmtId="1" fontId="32" fillId="0" borderId="2" xfId="0" applyNumberFormat="1" applyFont="1" applyBorder="1" applyAlignment="1">
      <alignment horizontal="left" vertical="center" indent="1"/>
    </xf>
    <xf numFmtId="1" fontId="32" fillId="0" borderId="1" xfId="0" applyNumberFormat="1" applyFont="1" applyBorder="1" applyAlignment="1">
      <alignment horizontal="left" vertical="center" indent="1"/>
    </xf>
    <xf numFmtId="0" fontId="34" fillId="0" borderId="0" xfId="782" applyFont="1" applyAlignment="1">
      <alignment horizontal="left"/>
    </xf>
    <xf numFmtId="1" fontId="26" fillId="0" borderId="6" xfId="0" applyNumberFormat="1" applyFont="1" applyFill="1" applyBorder="1" applyAlignment="1">
      <alignment horizontal="center" vertical="center"/>
    </xf>
    <xf numFmtId="1" fontId="26" fillId="0" borderId="3" xfId="0" applyNumberFormat="1" applyFont="1" applyFill="1" applyBorder="1" applyAlignment="1">
      <alignment horizontal="center" vertical="center"/>
    </xf>
    <xf numFmtId="1" fontId="24" fillId="0" borderId="4" xfId="38" applyNumberFormat="1" applyFont="1" applyFill="1" applyBorder="1" applyAlignment="1">
      <alignment horizontal="center" vertical="center"/>
    </xf>
    <xf numFmtId="1" fontId="23" fillId="0" borderId="5" xfId="0" applyNumberFormat="1" applyFont="1" applyFill="1" applyBorder="1" applyAlignment="1">
      <alignment horizontal="center" vertical="center"/>
    </xf>
    <xf numFmtId="1" fontId="24" fillId="0" borderId="3" xfId="38" applyNumberFormat="1" applyFont="1" applyFill="1" applyBorder="1" applyAlignment="1">
      <alignment horizontal="center" vertical="center"/>
    </xf>
    <xf numFmtId="1" fontId="24" fillId="0" borderId="3" xfId="0" applyNumberFormat="1" applyFont="1" applyFill="1" applyBorder="1" applyAlignment="1">
      <alignment horizontal="center" vertical="center"/>
    </xf>
    <xf numFmtId="1" fontId="24" fillId="0" borderId="4" xfId="0" applyNumberFormat="1" applyFont="1" applyFill="1" applyBorder="1" applyAlignment="1">
      <alignment horizontal="center" vertical="center"/>
    </xf>
    <xf numFmtId="1" fontId="22" fillId="0" borderId="5" xfId="0" applyNumberFormat="1" applyFont="1" applyFill="1" applyBorder="1" applyAlignment="1">
      <alignment horizontal="center" vertical="center"/>
    </xf>
    <xf numFmtId="0" fontId="34" fillId="0" borderId="7" xfId="782" applyFont="1" applyBorder="1" applyAlignment="1">
      <alignment horizontal="left"/>
    </xf>
    <xf numFmtId="0" fontId="32" fillId="0" borderId="7" xfId="782" applyFont="1" applyFill="1" applyBorder="1" applyAlignment="1">
      <alignment horizontal="left" vertical="center"/>
    </xf>
    <xf numFmtId="0" fontId="32" fillId="0" borderId="7" xfId="782" applyFont="1" applyFill="1" applyBorder="1" applyAlignment="1">
      <alignment horizontal="right" vertical="center"/>
    </xf>
    <xf numFmtId="3" fontId="32" fillId="0" borderId="7" xfId="782" applyNumberFormat="1" applyFont="1" applyFill="1" applyBorder="1" applyAlignment="1">
      <alignment horizontal="center" vertical="center"/>
    </xf>
    <xf numFmtId="3" fontId="33" fillId="0" borderId="8" xfId="0" applyNumberFormat="1" applyFont="1" applyFill="1" applyBorder="1" applyAlignment="1">
      <alignment horizontal="center" vertical="center"/>
    </xf>
    <xf numFmtId="1" fontId="26" fillId="0" borderId="8" xfId="0" applyNumberFormat="1" applyFont="1" applyFill="1" applyBorder="1" applyAlignment="1">
      <alignment horizontal="center" vertical="center"/>
    </xf>
    <xf numFmtId="3" fontId="26" fillId="0" borderId="8" xfId="0" applyNumberFormat="1" applyFont="1" applyFill="1" applyBorder="1" applyAlignment="1">
      <alignment horizontal="center" vertical="center"/>
    </xf>
    <xf numFmtId="3" fontId="33" fillId="0" borderId="8" xfId="38" applyNumberFormat="1" applyFont="1" applyFill="1" applyBorder="1" applyAlignment="1">
      <alignment horizontal="center" vertical="center"/>
    </xf>
    <xf numFmtId="3" fontId="24" fillId="0" borderId="8" xfId="38" applyNumberFormat="1" applyFont="1" applyFill="1" applyBorder="1" applyAlignment="1">
      <alignment horizontal="center" vertical="center"/>
    </xf>
    <xf numFmtId="0" fontId="34" fillId="0" borderId="9" xfId="782" applyFont="1" applyBorder="1" applyAlignment="1">
      <alignment horizontal="left"/>
    </xf>
    <xf numFmtId="3" fontId="32" fillId="0" borderId="7" xfId="0" applyNumberFormat="1" applyFont="1" applyFill="1" applyBorder="1" applyAlignment="1">
      <alignment horizontal="center" vertical="center"/>
    </xf>
    <xf numFmtId="3" fontId="32" fillId="0" borderId="10" xfId="0" applyNumberFormat="1" applyFont="1" applyFill="1" applyBorder="1" applyAlignment="1">
      <alignment horizontal="center" vertical="center"/>
    </xf>
    <xf numFmtId="1" fontId="23" fillId="0" borderId="10" xfId="0" applyNumberFormat="1" applyFont="1" applyFill="1" applyBorder="1" applyAlignment="1">
      <alignment horizontal="center" vertical="center"/>
    </xf>
    <xf numFmtId="3" fontId="23" fillId="0" borderId="10" xfId="0" applyNumberFormat="1" applyFont="1" applyFill="1" applyBorder="1" applyAlignment="1">
      <alignment horizontal="center" vertical="center"/>
    </xf>
    <xf numFmtId="3" fontId="22" fillId="0" borderId="10" xfId="0" applyNumberFormat="1" applyFont="1" applyFill="1" applyBorder="1" applyAlignment="1">
      <alignment horizontal="center" vertical="center"/>
    </xf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J47"/>
  <sheetViews>
    <sheetView tabSelected="1" zoomScaleNormal="100" workbookViewId="0">
      <selection activeCell="L22" sqref="L22"/>
    </sheetView>
  </sheetViews>
  <sheetFormatPr baseColWidth="10" defaultColWidth="11.42578125" defaultRowHeight="15" x14ac:dyDescent="0.25"/>
  <cols>
    <col min="1" max="1" width="7.28515625" style="5" customWidth="1"/>
    <col min="2" max="2" width="17.28515625" style="1" customWidth="1"/>
    <col min="3" max="3" width="14.5703125" style="1" customWidth="1"/>
    <col min="4" max="4" width="29" style="1" customWidth="1"/>
    <col min="5" max="5" width="24.85546875" style="1" customWidth="1"/>
    <col min="6" max="6" width="21.85546875" style="1" bestFit="1" customWidth="1"/>
    <col min="7" max="7" width="25.42578125" style="1" customWidth="1"/>
    <col min="8" max="8" width="18.5703125" style="1" customWidth="1"/>
    <col min="9" max="9" width="26.140625" style="1" customWidth="1"/>
    <col min="10" max="10" width="23.28515625" style="1" customWidth="1"/>
    <col min="11" max="16384" width="11.42578125" style="1"/>
  </cols>
  <sheetData>
    <row r="1" spans="1:10" ht="43.5" customHeight="1" x14ac:dyDescent="0.25">
      <c r="A1" s="8" t="s">
        <v>7</v>
      </c>
      <c r="B1" s="8" t="s">
        <v>22</v>
      </c>
      <c r="C1" s="8" t="s">
        <v>21</v>
      </c>
      <c r="D1" s="8" t="s">
        <v>15</v>
      </c>
      <c r="E1" s="8" t="s">
        <v>16</v>
      </c>
      <c r="F1" s="8" t="s">
        <v>17</v>
      </c>
      <c r="G1" s="8" t="s">
        <v>23</v>
      </c>
      <c r="H1" s="8" t="s">
        <v>18</v>
      </c>
      <c r="I1" s="8" t="s">
        <v>19</v>
      </c>
      <c r="J1" s="8" t="s">
        <v>20</v>
      </c>
    </row>
    <row r="2" spans="1:10" ht="21" customHeight="1" x14ac:dyDescent="0.25">
      <c r="A2" s="19">
        <v>2020</v>
      </c>
      <c r="B2" s="20" t="s">
        <v>8</v>
      </c>
      <c r="C2" s="9" t="s">
        <v>6</v>
      </c>
      <c r="D2" s="10">
        <v>208</v>
      </c>
      <c r="E2" s="10">
        <v>328</v>
      </c>
      <c r="F2" s="10">
        <v>1124</v>
      </c>
      <c r="G2" s="11">
        <v>9720</v>
      </c>
      <c r="H2" s="11">
        <v>420</v>
      </c>
      <c r="I2" s="11">
        <v>6758</v>
      </c>
      <c r="J2" s="11">
        <v>10101</v>
      </c>
    </row>
    <row r="3" spans="1:10" ht="21" customHeight="1" x14ac:dyDescent="0.25">
      <c r="A3" s="19">
        <v>2020</v>
      </c>
      <c r="B3" s="21" t="s">
        <v>9</v>
      </c>
      <c r="C3" s="9" t="s">
        <v>1</v>
      </c>
      <c r="D3" s="10">
        <v>111</v>
      </c>
      <c r="E3" s="10"/>
      <c r="F3" s="10">
        <v>721</v>
      </c>
      <c r="G3" s="11">
        <v>6700</v>
      </c>
      <c r="H3" s="11">
        <v>62</v>
      </c>
      <c r="I3" s="11">
        <v>1120</v>
      </c>
      <c r="J3" s="11">
        <v>8573</v>
      </c>
    </row>
    <row r="4" spans="1:10" ht="21" customHeight="1" x14ac:dyDescent="0.25">
      <c r="A4" s="19">
        <v>2020</v>
      </c>
      <c r="B4" s="21" t="s">
        <v>10</v>
      </c>
      <c r="C4" s="9" t="s">
        <v>2</v>
      </c>
      <c r="D4" s="10">
        <v>18</v>
      </c>
      <c r="E4" s="10">
        <v>576</v>
      </c>
      <c r="F4" s="10">
        <v>1088</v>
      </c>
      <c r="G4" s="10">
        <v>17620</v>
      </c>
      <c r="H4" s="10">
        <v>150</v>
      </c>
      <c r="I4" s="10">
        <v>9381</v>
      </c>
      <c r="J4" s="10">
        <v>8183</v>
      </c>
    </row>
    <row r="5" spans="1:10" ht="21" customHeight="1" x14ac:dyDescent="0.25">
      <c r="A5" s="19">
        <v>2020</v>
      </c>
      <c r="B5" s="21" t="s">
        <v>11</v>
      </c>
      <c r="C5" s="9" t="s">
        <v>3</v>
      </c>
      <c r="D5" s="10">
        <v>908</v>
      </c>
      <c r="E5" s="10">
        <v>633</v>
      </c>
      <c r="F5" s="10">
        <v>2814</v>
      </c>
      <c r="G5" s="10">
        <v>23100</v>
      </c>
      <c r="H5" s="10">
        <v>590</v>
      </c>
      <c r="I5" s="10">
        <v>8920</v>
      </c>
      <c r="J5" s="10">
        <v>15351</v>
      </c>
    </row>
    <row r="6" spans="1:10" ht="21" customHeight="1" x14ac:dyDescent="0.25">
      <c r="A6" s="19">
        <v>2020</v>
      </c>
      <c r="B6" s="21" t="s">
        <v>12</v>
      </c>
      <c r="C6" s="9" t="s">
        <v>4</v>
      </c>
      <c r="D6" s="10">
        <v>2789</v>
      </c>
      <c r="E6" s="10"/>
      <c r="F6" s="10">
        <v>465</v>
      </c>
      <c r="G6" s="10">
        <v>6450</v>
      </c>
      <c r="H6" s="10">
        <v>465</v>
      </c>
      <c r="I6" s="10">
        <v>850</v>
      </c>
      <c r="J6" s="10">
        <v>9502</v>
      </c>
    </row>
    <row r="7" spans="1:10" ht="21" customHeight="1" x14ac:dyDescent="0.25">
      <c r="A7" s="19">
        <v>2020</v>
      </c>
      <c r="B7" s="21" t="s">
        <v>13</v>
      </c>
      <c r="C7" s="9" t="s">
        <v>5</v>
      </c>
      <c r="D7" s="11">
        <v>326</v>
      </c>
      <c r="E7" s="11"/>
      <c r="F7" s="11">
        <v>483</v>
      </c>
      <c r="G7" s="10">
        <v>3610</v>
      </c>
      <c r="H7" s="10">
        <v>33</v>
      </c>
      <c r="I7" s="10">
        <v>1721</v>
      </c>
      <c r="J7" s="10">
        <v>6913</v>
      </c>
    </row>
    <row r="8" spans="1:10" ht="21" customHeight="1" thickBot="1" x14ac:dyDescent="0.3">
      <c r="A8" s="31">
        <v>2020</v>
      </c>
      <c r="B8" s="32" t="s">
        <v>14</v>
      </c>
      <c r="C8" s="33" t="s">
        <v>0</v>
      </c>
      <c r="D8" s="34">
        <f>SUM(D2:D7)</f>
        <v>4360</v>
      </c>
      <c r="E8" s="34">
        <f t="shared" ref="E8:J8" si="0">SUM(E2:E7)</f>
        <v>1537</v>
      </c>
      <c r="F8" s="34">
        <f t="shared" si="0"/>
        <v>6695</v>
      </c>
      <c r="G8" s="34">
        <f t="shared" si="0"/>
        <v>67200</v>
      </c>
      <c r="H8" s="34">
        <f t="shared" si="0"/>
        <v>1720</v>
      </c>
      <c r="I8" s="34">
        <f t="shared" si="0"/>
        <v>28750</v>
      </c>
      <c r="J8" s="34">
        <f t="shared" si="0"/>
        <v>58623</v>
      </c>
    </row>
    <row r="9" spans="1:10" ht="21" customHeight="1" x14ac:dyDescent="0.25">
      <c r="A9" s="22">
        <v>2021</v>
      </c>
      <c r="B9" s="20" t="s">
        <v>8</v>
      </c>
      <c r="C9" s="12" t="s">
        <v>6</v>
      </c>
      <c r="D9" s="13">
        <v>240</v>
      </c>
      <c r="E9" s="13"/>
      <c r="F9" s="13">
        <v>1144</v>
      </c>
      <c r="G9" s="14">
        <v>10160</v>
      </c>
      <c r="H9" s="14">
        <v>225</v>
      </c>
      <c r="I9" s="14">
        <v>6805</v>
      </c>
      <c r="J9" s="14">
        <v>10319</v>
      </c>
    </row>
    <row r="10" spans="1:10" ht="21" customHeight="1" x14ac:dyDescent="0.25">
      <c r="A10" s="22">
        <v>2021</v>
      </c>
      <c r="B10" s="21" t="s">
        <v>9</v>
      </c>
      <c r="C10" s="9" t="s">
        <v>1</v>
      </c>
      <c r="D10" s="10">
        <v>110</v>
      </c>
      <c r="E10" s="10"/>
      <c r="F10" s="10">
        <v>682</v>
      </c>
      <c r="G10" s="11">
        <v>6700</v>
      </c>
      <c r="H10" s="11">
        <v>99</v>
      </c>
      <c r="I10" s="11">
        <v>972</v>
      </c>
      <c r="J10" s="11">
        <v>8676</v>
      </c>
    </row>
    <row r="11" spans="1:10" ht="21" customHeight="1" x14ac:dyDescent="0.25">
      <c r="A11" s="22">
        <v>2021</v>
      </c>
      <c r="B11" s="21" t="s">
        <v>10</v>
      </c>
      <c r="C11" s="9" t="s">
        <v>2</v>
      </c>
      <c r="D11" s="10">
        <v>20</v>
      </c>
      <c r="E11" s="10"/>
      <c r="F11" s="10">
        <v>1043</v>
      </c>
      <c r="G11" s="10">
        <v>18280</v>
      </c>
      <c r="H11" s="10">
        <v>170</v>
      </c>
      <c r="I11" s="10">
        <v>9350</v>
      </c>
      <c r="J11" s="10">
        <v>8470</v>
      </c>
    </row>
    <row r="12" spans="1:10" ht="21" customHeight="1" x14ac:dyDescent="0.25">
      <c r="A12" s="22">
        <v>2021</v>
      </c>
      <c r="B12" s="21" t="s">
        <v>11</v>
      </c>
      <c r="C12" s="9" t="s">
        <v>3</v>
      </c>
      <c r="D12" s="10">
        <v>850</v>
      </c>
      <c r="E12" s="10"/>
      <c r="F12" s="10">
        <v>3045</v>
      </c>
      <c r="G12" s="10">
        <v>21100</v>
      </c>
      <c r="H12" s="10">
        <v>450</v>
      </c>
      <c r="I12" s="10">
        <v>8480</v>
      </c>
      <c r="J12" s="10">
        <v>15824</v>
      </c>
    </row>
    <row r="13" spans="1:10" ht="21" customHeight="1" x14ac:dyDescent="0.25">
      <c r="A13" s="22">
        <v>2021</v>
      </c>
      <c r="B13" s="21" t="s">
        <v>12</v>
      </c>
      <c r="C13" s="9" t="s">
        <v>4</v>
      </c>
      <c r="D13" s="10">
        <v>2900</v>
      </c>
      <c r="E13" s="10"/>
      <c r="F13" s="10">
        <v>498</v>
      </c>
      <c r="G13" s="10">
        <v>6450</v>
      </c>
      <c r="H13" s="10">
        <v>55</v>
      </c>
      <c r="I13" s="10">
        <v>1100</v>
      </c>
      <c r="J13" s="10">
        <v>9672</v>
      </c>
    </row>
    <row r="14" spans="1:10" ht="21" customHeight="1" x14ac:dyDescent="0.25">
      <c r="A14" s="22">
        <v>2021</v>
      </c>
      <c r="B14" s="21" t="s">
        <v>13</v>
      </c>
      <c r="C14" s="9" t="s">
        <v>5</v>
      </c>
      <c r="D14" s="11">
        <v>335</v>
      </c>
      <c r="E14" s="11"/>
      <c r="F14" s="11">
        <v>465</v>
      </c>
      <c r="G14" s="10">
        <v>2913</v>
      </c>
      <c r="H14" s="10">
        <v>0</v>
      </c>
      <c r="I14" s="10">
        <v>1767</v>
      </c>
      <c r="J14" s="10">
        <v>7023</v>
      </c>
    </row>
    <row r="15" spans="1:10" ht="21" customHeight="1" thickBot="1" x14ac:dyDescent="0.3">
      <c r="A15" s="40">
        <v>2021</v>
      </c>
      <c r="B15" s="32" t="s">
        <v>14</v>
      </c>
      <c r="C15" s="33" t="s">
        <v>0</v>
      </c>
      <c r="D15" s="41">
        <f>D9+D10+D11+D12+D13+D14</f>
        <v>4455</v>
      </c>
      <c r="E15" s="41"/>
      <c r="F15" s="41">
        <f>SUM(F9:F14)</f>
        <v>6877</v>
      </c>
      <c r="G15" s="41">
        <f t="shared" ref="G15:I15" si="1">SUM(G9:G14)</f>
        <v>65603</v>
      </c>
      <c r="H15" s="41">
        <f t="shared" si="1"/>
        <v>999</v>
      </c>
      <c r="I15" s="41">
        <f t="shared" si="1"/>
        <v>28474</v>
      </c>
      <c r="J15" s="41">
        <f>SUM(J9:J14)</f>
        <v>59984</v>
      </c>
    </row>
    <row r="16" spans="1:10" ht="21" customHeight="1" x14ac:dyDescent="0.25">
      <c r="A16" s="22">
        <v>2022</v>
      </c>
      <c r="B16" s="20" t="s">
        <v>8</v>
      </c>
      <c r="C16" s="12" t="s">
        <v>6</v>
      </c>
      <c r="D16" s="35">
        <v>99</v>
      </c>
      <c r="E16" s="36">
        <v>105</v>
      </c>
      <c r="F16" s="37">
        <v>1119</v>
      </c>
      <c r="G16" s="38">
        <v>10270</v>
      </c>
      <c r="H16" s="39">
        <v>365</v>
      </c>
      <c r="I16" s="39">
        <v>6323</v>
      </c>
      <c r="J16" s="39">
        <v>10437</v>
      </c>
    </row>
    <row r="17" spans="1:10" ht="21" customHeight="1" x14ac:dyDescent="0.25">
      <c r="A17" s="22">
        <v>2022</v>
      </c>
      <c r="B17" s="21" t="s">
        <v>9</v>
      </c>
      <c r="C17" s="9" t="s">
        <v>1</v>
      </c>
      <c r="D17" s="16">
        <v>35</v>
      </c>
      <c r="E17" s="24">
        <v>0</v>
      </c>
      <c r="F17" s="6">
        <v>675</v>
      </c>
      <c r="G17" s="15">
        <v>5486</v>
      </c>
      <c r="H17" s="2">
        <v>100</v>
      </c>
      <c r="I17" s="2">
        <v>992</v>
      </c>
      <c r="J17" s="2">
        <v>8745</v>
      </c>
    </row>
    <row r="18" spans="1:10" ht="21" customHeight="1" x14ac:dyDescent="0.25">
      <c r="A18" s="22">
        <v>2022</v>
      </c>
      <c r="B18" s="21" t="s">
        <v>10</v>
      </c>
      <c r="C18" s="9" t="s">
        <v>2</v>
      </c>
      <c r="D18" s="16">
        <v>0</v>
      </c>
      <c r="E18" s="24">
        <v>299</v>
      </c>
      <c r="F18" s="6">
        <v>1042</v>
      </c>
      <c r="G18" s="16">
        <v>17750</v>
      </c>
      <c r="H18" s="3">
        <v>150</v>
      </c>
      <c r="I18" s="3">
        <v>9200</v>
      </c>
      <c r="J18" s="3">
        <v>8499</v>
      </c>
    </row>
    <row r="19" spans="1:10" ht="21" customHeight="1" x14ac:dyDescent="0.25">
      <c r="A19" s="22">
        <v>2022</v>
      </c>
      <c r="B19" s="21" t="s">
        <v>11</v>
      </c>
      <c r="C19" s="9" t="s">
        <v>3</v>
      </c>
      <c r="D19" s="16">
        <v>700</v>
      </c>
      <c r="E19" s="24">
        <v>122</v>
      </c>
      <c r="F19" s="6">
        <v>3025</v>
      </c>
      <c r="G19" s="16">
        <v>20910</v>
      </c>
      <c r="H19" s="3">
        <v>600</v>
      </c>
      <c r="I19" s="3">
        <v>7378</v>
      </c>
      <c r="J19" s="3">
        <v>16615</v>
      </c>
    </row>
    <row r="20" spans="1:10" ht="21" customHeight="1" x14ac:dyDescent="0.25">
      <c r="A20" s="22">
        <v>2022</v>
      </c>
      <c r="B20" s="21" t="s">
        <v>12</v>
      </c>
      <c r="C20" s="9" t="s">
        <v>4</v>
      </c>
      <c r="D20" s="16">
        <v>2552</v>
      </c>
      <c r="E20" s="24">
        <v>0</v>
      </c>
      <c r="F20" s="6">
        <v>516</v>
      </c>
      <c r="G20" s="16">
        <v>4880</v>
      </c>
      <c r="H20" s="3">
        <v>55</v>
      </c>
      <c r="I20" s="3">
        <v>800</v>
      </c>
      <c r="J20" s="3">
        <v>9806</v>
      </c>
    </row>
    <row r="21" spans="1:10" ht="21" customHeight="1" x14ac:dyDescent="0.25">
      <c r="A21" s="22">
        <v>2022</v>
      </c>
      <c r="B21" s="21" t="s">
        <v>13</v>
      </c>
      <c r="C21" s="9" t="s">
        <v>5</v>
      </c>
      <c r="D21" s="17">
        <v>143</v>
      </c>
      <c r="E21" s="25">
        <v>0</v>
      </c>
      <c r="F21" s="7">
        <v>470</v>
      </c>
      <c r="G21" s="18">
        <v>1910</v>
      </c>
      <c r="H21" s="4">
        <v>50</v>
      </c>
      <c r="I21" s="4">
        <v>1687</v>
      </c>
      <c r="J21" s="4">
        <v>7060</v>
      </c>
    </row>
    <row r="22" spans="1:10" ht="21" customHeight="1" thickBot="1" x14ac:dyDescent="0.3">
      <c r="A22" s="40">
        <v>2022</v>
      </c>
      <c r="B22" s="32" t="s">
        <v>14</v>
      </c>
      <c r="C22" s="33" t="s">
        <v>0</v>
      </c>
      <c r="D22" s="42">
        <f>SUM(D16:D21)</f>
        <v>3529</v>
      </c>
      <c r="E22" s="43">
        <f t="shared" ref="E22" si="2">SUM(E16:E21)</f>
        <v>526</v>
      </c>
      <c r="F22" s="44">
        <f>SUM(F16:F21)</f>
        <v>6847</v>
      </c>
      <c r="G22" s="42">
        <f t="shared" ref="G22" si="3">SUM(G16:G21)</f>
        <v>61206</v>
      </c>
      <c r="H22" s="45">
        <f>SUM(H16:H21)</f>
        <v>1320</v>
      </c>
      <c r="I22" s="45">
        <f>SUM(I16:I21)</f>
        <v>26380</v>
      </c>
      <c r="J22" s="45">
        <f>SUM(J16:J21)</f>
        <v>61162</v>
      </c>
    </row>
    <row r="23" spans="1:10" ht="21" customHeight="1" x14ac:dyDescent="0.25">
      <c r="A23" s="22">
        <v>2023</v>
      </c>
      <c r="B23" s="20" t="s">
        <v>8</v>
      </c>
      <c r="C23" s="12" t="s">
        <v>6</v>
      </c>
      <c r="D23" s="23">
        <f>2+66+59</f>
        <v>127</v>
      </c>
      <c r="E23" s="23">
        <v>238</v>
      </c>
      <c r="F23" s="23">
        <v>1209</v>
      </c>
      <c r="G23" s="27">
        <f>10250+83</f>
        <v>10333</v>
      </c>
      <c r="H23" s="27">
        <v>55</v>
      </c>
      <c r="I23" s="27">
        <v>5860</v>
      </c>
      <c r="J23" s="27">
        <v>10480</v>
      </c>
    </row>
    <row r="24" spans="1:10" ht="19.5" customHeight="1" x14ac:dyDescent="0.25">
      <c r="A24" s="22">
        <v>2023</v>
      </c>
      <c r="B24" s="21" t="s">
        <v>9</v>
      </c>
      <c r="C24" s="9" t="s">
        <v>1</v>
      </c>
      <c r="D24" s="24">
        <f>6+3+8</f>
        <v>17</v>
      </c>
      <c r="E24" s="24">
        <v>0</v>
      </c>
      <c r="F24" s="24">
        <v>581</v>
      </c>
      <c r="G24" s="27">
        <f>6000+120</f>
        <v>6120</v>
      </c>
      <c r="H24" s="27">
        <v>76</v>
      </c>
      <c r="I24" s="27">
        <v>941</v>
      </c>
      <c r="J24" s="27">
        <v>8769</v>
      </c>
    </row>
    <row r="25" spans="1:10" ht="15.75" x14ac:dyDescent="0.25">
      <c r="A25" s="22">
        <v>2023</v>
      </c>
      <c r="B25" s="21" t="s">
        <v>10</v>
      </c>
      <c r="C25" s="9" t="s">
        <v>2</v>
      </c>
      <c r="D25" s="24">
        <f>20</f>
        <v>20</v>
      </c>
      <c r="E25" s="24">
        <v>565</v>
      </c>
      <c r="F25" s="24">
        <v>920</v>
      </c>
      <c r="G25" s="28">
        <f>18300+0</f>
        <v>18300</v>
      </c>
      <c r="H25" s="28">
        <v>150</v>
      </c>
      <c r="I25" s="28">
        <v>9303</v>
      </c>
      <c r="J25" s="28">
        <v>8592</v>
      </c>
    </row>
    <row r="26" spans="1:10" ht="15.75" x14ac:dyDescent="0.25">
      <c r="A26" s="22">
        <v>2023</v>
      </c>
      <c r="B26" s="21" t="s">
        <v>11</v>
      </c>
      <c r="C26" s="9" t="s">
        <v>3</v>
      </c>
      <c r="D26" s="24">
        <f>46+305+373</f>
        <v>724</v>
      </c>
      <c r="E26" s="24">
        <v>364</v>
      </c>
      <c r="F26" s="24">
        <v>3204</v>
      </c>
      <c r="G26" s="28">
        <f>19560+140</f>
        <v>19700</v>
      </c>
      <c r="H26" s="28">
        <v>450</v>
      </c>
      <c r="I26" s="28">
        <v>7069</v>
      </c>
      <c r="J26" s="28">
        <v>16669</v>
      </c>
    </row>
    <row r="27" spans="1:10" ht="15.75" x14ac:dyDescent="0.25">
      <c r="A27" s="22">
        <v>2023</v>
      </c>
      <c r="B27" s="21" t="s">
        <v>12</v>
      </c>
      <c r="C27" s="9" t="s">
        <v>4</v>
      </c>
      <c r="D27" s="24">
        <f>682+595+1158+340+1</f>
        <v>2776</v>
      </c>
      <c r="E27" s="24">
        <v>0</v>
      </c>
      <c r="F27" s="24">
        <v>451</v>
      </c>
      <c r="G27" s="28">
        <f>4654+903</f>
        <v>5557</v>
      </c>
      <c r="H27" s="28">
        <v>55</v>
      </c>
      <c r="I27" s="28">
        <v>800</v>
      </c>
      <c r="J27" s="28">
        <v>9851</v>
      </c>
    </row>
    <row r="28" spans="1:10" ht="16.5" thickBot="1" x14ac:dyDescent="0.3">
      <c r="A28" s="22">
        <v>2023</v>
      </c>
      <c r="B28" s="21" t="s">
        <v>13</v>
      </c>
      <c r="C28" s="9" t="s">
        <v>5</v>
      </c>
      <c r="D28" s="25">
        <f>14+17+62</f>
        <v>93</v>
      </c>
      <c r="E28" s="25">
        <v>0</v>
      </c>
      <c r="F28" s="25">
        <v>179</v>
      </c>
      <c r="G28" s="29">
        <f>1175+25</f>
        <v>1200</v>
      </c>
      <c r="H28" s="29">
        <v>20</v>
      </c>
      <c r="I28" s="29">
        <v>835</v>
      </c>
      <c r="J28" s="29">
        <v>7079</v>
      </c>
    </row>
    <row r="29" spans="1:10" ht="16.5" thickBot="1" x14ac:dyDescent="0.3">
      <c r="A29" s="40">
        <v>2023</v>
      </c>
      <c r="B29" s="32" t="s">
        <v>14</v>
      </c>
      <c r="C29" s="33" t="s">
        <v>0</v>
      </c>
      <c r="D29" s="26">
        <f t="shared" ref="D29:F29" si="4">SUM(D23:D28)</f>
        <v>3757</v>
      </c>
      <c r="E29" s="26">
        <f t="shared" si="4"/>
        <v>1167</v>
      </c>
      <c r="F29" s="26">
        <f t="shared" si="4"/>
        <v>6544</v>
      </c>
      <c r="G29" s="30">
        <f>SUM(G23:G28)</f>
        <v>61210</v>
      </c>
      <c r="H29" s="30">
        <f>SUM(H23:H28)</f>
        <v>806</v>
      </c>
      <c r="I29" s="30">
        <f>SUM(I23:I28)</f>
        <v>24808</v>
      </c>
      <c r="J29" s="30">
        <f>SUM(J23:J28)</f>
        <v>61440</v>
      </c>
    </row>
    <row r="35" ht="15.75" customHeight="1" x14ac:dyDescent="0.25"/>
    <row r="36" ht="15.75" customHeight="1" x14ac:dyDescent="0.25"/>
    <row r="46" ht="15.75" customHeight="1" x14ac:dyDescent="0.25"/>
    <row r="47" ht="15.75" customHeight="1" x14ac:dyDescent="0.25"/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83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Agric9</vt:lpstr>
      <vt:lpstr>Agric9!Zone_d_impression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2025-04-18T14:45:50Z</dcterms:modified>
</cp:coreProperties>
</file>