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3440" windowHeight="10545"/>
  </bookViews>
  <sheets>
    <sheet name="إنتاج الكروم عند التحويل" sheetId="2" r:id="rId1"/>
  </sheets>
  <calcPr calcId="124519"/>
</workbook>
</file>

<file path=xl/calcChain.xml><?xml version="1.0" encoding="utf-8"?>
<calcChain xmlns="http://schemas.openxmlformats.org/spreadsheetml/2006/main">
  <c r="F25" i="2"/>
  <c r="E25"/>
  <c r="D25"/>
  <c r="C25"/>
  <c r="H24"/>
  <c r="G24"/>
  <c r="H23"/>
  <c r="G23"/>
  <c r="A23"/>
  <c r="A24" s="1"/>
  <c r="A25" s="1"/>
  <c r="H22"/>
  <c r="G22"/>
  <c r="F21"/>
  <c r="E21"/>
  <c r="D21"/>
  <c r="C21"/>
  <c r="H20"/>
  <c r="G20"/>
  <c r="G19"/>
  <c r="A19"/>
  <c r="A20" s="1"/>
  <c r="A21" s="1"/>
  <c r="H18"/>
  <c r="G18"/>
  <c r="G21" l="1"/>
  <c r="G25"/>
  <c r="H25"/>
  <c r="H21"/>
  <c r="A15"/>
  <c r="A16" s="1"/>
  <c r="A17" s="1"/>
  <c r="A11"/>
  <c r="A12" s="1"/>
  <c r="A13" s="1"/>
  <c r="A8"/>
  <c r="A9" s="1"/>
  <c r="A7"/>
  <c r="A3"/>
  <c r="A4" s="1"/>
  <c r="A5" s="1"/>
  <c r="C5"/>
  <c r="D5"/>
  <c r="E5"/>
  <c r="F5"/>
  <c r="G5"/>
  <c r="H5"/>
  <c r="F13"/>
  <c r="E13"/>
  <c r="D13"/>
  <c r="C13"/>
  <c r="H8"/>
  <c r="G8"/>
  <c r="H7"/>
  <c r="G7"/>
  <c r="H6"/>
  <c r="G6"/>
  <c r="H12"/>
  <c r="G12"/>
  <c r="H11"/>
  <c r="G11"/>
  <c r="H10"/>
  <c r="G10"/>
  <c r="F9"/>
  <c r="E9"/>
  <c r="D9"/>
  <c r="C9"/>
  <c r="H14"/>
  <c r="H15"/>
  <c r="H16"/>
  <c r="G15"/>
  <c r="G16"/>
  <c r="G14"/>
  <c r="D17"/>
  <c r="E17"/>
  <c r="F17"/>
  <c r="C17"/>
  <c r="H17" l="1"/>
  <c r="G13"/>
  <c r="G17"/>
  <c r="H9"/>
  <c r="G9"/>
  <c r="H13"/>
</calcChain>
</file>

<file path=xl/sharedStrings.xml><?xml version="1.0" encoding="utf-8"?>
<sst xmlns="http://schemas.openxmlformats.org/spreadsheetml/2006/main" count="38" uniqueCount="17">
  <si>
    <t>2018/2019</t>
  </si>
  <si>
    <t>2019/2020</t>
  </si>
  <si>
    <t>2020/2021</t>
  </si>
  <si>
    <t>2021/2022</t>
  </si>
  <si>
    <t>2022/2023</t>
  </si>
  <si>
    <t>2023/2024</t>
  </si>
  <si>
    <t>Annee</t>
  </si>
  <si>
    <t>plantations</t>
  </si>
  <si>
    <t>secteur_pluvial_raisins_conversion(T)</t>
  </si>
  <si>
    <t>secteur_irriguee_raisins_conversion_T</t>
  </si>
  <si>
    <t>production_T</t>
  </si>
  <si>
    <t>superficie_totale_H</t>
  </si>
  <si>
    <t>Poduction_T</t>
  </si>
  <si>
    <t>platation_jeunes</t>
  </si>
  <si>
    <t>platation_productives</t>
  </si>
  <si>
    <t>plantation_vieux</t>
  </si>
  <si>
    <t>totales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</si>
</sst>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Sultan normal"/>
      <charset val="178"/>
    </font>
    <font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7" fillId="0" borderId="0" xfId="0" applyFont="1" applyAlignment="1">
      <alignment vertical="center"/>
    </xf>
    <xf numFmtId="0" fontId="3" fillId="0" borderId="1" xfId="0" applyFont="1" applyBorder="1" applyAlignment="1">
      <alignment horizontal="right" vertical="center" readingOrder="2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readingOrder="2"/>
    </xf>
    <xf numFmtId="0" fontId="8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rightToLeft="1" tabSelected="1" workbookViewId="0">
      <selection activeCell="J17" sqref="J17"/>
    </sheetView>
  </sheetViews>
  <sheetFormatPr baseColWidth="10" defaultRowHeight="15"/>
  <cols>
    <col min="1" max="1" width="11.42578125" style="2"/>
    <col min="2" max="2" width="24" style="2" customWidth="1"/>
    <col min="3" max="3" width="41.140625" style="2" customWidth="1"/>
    <col min="4" max="4" width="15.5703125" style="2" customWidth="1"/>
    <col min="5" max="5" width="41.5703125" style="2" customWidth="1"/>
    <col min="6" max="6" width="15.5703125" style="2" customWidth="1"/>
    <col min="7" max="7" width="21.5703125" style="2" customWidth="1"/>
    <col min="8" max="8" width="17.42578125" style="2" customWidth="1"/>
    <col min="9" max="16384" width="11.42578125" style="2"/>
  </cols>
  <sheetData>
    <row r="1" spans="1:17" ht="18">
      <c r="A1" s="5" t="s">
        <v>6</v>
      </c>
      <c r="B1" s="5" t="s">
        <v>7</v>
      </c>
      <c r="C1" s="5" t="s">
        <v>8</v>
      </c>
      <c r="D1" s="5" t="s">
        <v>10</v>
      </c>
      <c r="E1" s="5" t="s">
        <v>9</v>
      </c>
      <c r="F1" s="5" t="s">
        <v>10</v>
      </c>
      <c r="G1" s="5" t="s">
        <v>11</v>
      </c>
      <c r="H1" s="5" t="s">
        <v>12</v>
      </c>
    </row>
    <row r="2" spans="1:17" ht="18">
      <c r="A2" s="3" t="s">
        <v>0</v>
      </c>
      <c r="B2" s="5" t="s">
        <v>13</v>
      </c>
      <c r="C2" s="12">
        <v>0</v>
      </c>
      <c r="D2" s="12">
        <v>0</v>
      </c>
      <c r="E2" s="8">
        <v>10</v>
      </c>
      <c r="F2" s="8">
        <v>0</v>
      </c>
      <c r="G2" s="8">
        <v>10</v>
      </c>
      <c r="H2" s="12">
        <v>0</v>
      </c>
    </row>
    <row r="3" spans="1:17" ht="18">
      <c r="A3" s="3" t="str">
        <f>A2</f>
        <v>2018/2019</v>
      </c>
      <c r="B3" s="5" t="s">
        <v>14</v>
      </c>
      <c r="C3" s="8">
        <v>120</v>
      </c>
      <c r="D3" s="8">
        <v>420</v>
      </c>
      <c r="E3" s="8">
        <v>130</v>
      </c>
      <c r="F3" s="8">
        <v>715</v>
      </c>
      <c r="G3" s="8">
        <v>250</v>
      </c>
      <c r="H3" s="8">
        <v>1135</v>
      </c>
    </row>
    <row r="4" spans="1:17" ht="18">
      <c r="A4" s="3" t="str">
        <f t="shared" ref="A4:A5" si="0">A3</f>
        <v>2018/2019</v>
      </c>
      <c r="B4" s="5" t="s">
        <v>15</v>
      </c>
      <c r="C4" s="8">
        <v>10</v>
      </c>
      <c r="D4" s="8">
        <v>5</v>
      </c>
      <c r="E4" s="8">
        <v>10</v>
      </c>
      <c r="F4" s="8">
        <v>30</v>
      </c>
      <c r="G4" s="8">
        <v>20</v>
      </c>
      <c r="H4" s="8">
        <v>35</v>
      </c>
    </row>
    <row r="5" spans="1:17" ht="20.25" customHeight="1">
      <c r="A5" s="3" t="str">
        <f t="shared" si="0"/>
        <v>2018/2019</v>
      </c>
      <c r="B5" s="5" t="s">
        <v>16</v>
      </c>
      <c r="C5" s="13">
        <f t="shared" ref="C5:G5" si="1">+C4+C3+C2</f>
        <v>130</v>
      </c>
      <c r="D5" s="9">
        <f t="shared" si="1"/>
        <v>425</v>
      </c>
      <c r="E5" s="9">
        <f t="shared" si="1"/>
        <v>150</v>
      </c>
      <c r="F5" s="9">
        <f t="shared" si="1"/>
        <v>745</v>
      </c>
      <c r="G5" s="9">
        <f t="shared" si="1"/>
        <v>280</v>
      </c>
      <c r="H5" s="9">
        <f>+H4+H3+H2</f>
        <v>1170</v>
      </c>
      <c r="O5" s="6"/>
    </row>
    <row r="6" spans="1:17" ht="18">
      <c r="A6" s="14" t="s">
        <v>1</v>
      </c>
      <c r="B6" s="5" t="s">
        <v>13</v>
      </c>
      <c r="C6" s="10">
        <v>0</v>
      </c>
      <c r="D6" s="10">
        <v>0</v>
      </c>
      <c r="E6" s="10">
        <v>10</v>
      </c>
      <c r="F6" s="10">
        <v>0</v>
      </c>
      <c r="G6" s="10">
        <f>+E6+C6</f>
        <v>10</v>
      </c>
      <c r="H6" s="10">
        <f>+F6+D6</f>
        <v>0</v>
      </c>
    </row>
    <row r="7" spans="1:17" ht="18">
      <c r="A7" s="14" t="str">
        <f>A6</f>
        <v>2019/2020</v>
      </c>
      <c r="B7" s="5" t="s">
        <v>14</v>
      </c>
      <c r="C7" s="10">
        <v>120</v>
      </c>
      <c r="D7" s="10">
        <v>420</v>
      </c>
      <c r="E7" s="10">
        <v>110</v>
      </c>
      <c r="F7" s="10">
        <v>605</v>
      </c>
      <c r="G7" s="10">
        <f t="shared" ref="G7:G8" si="2">+E7+C7</f>
        <v>230</v>
      </c>
      <c r="H7" s="10">
        <f t="shared" ref="H7:H8" si="3">+F7+D7</f>
        <v>1025</v>
      </c>
      <c r="Q7" s="1"/>
    </row>
    <row r="8" spans="1:17" ht="18">
      <c r="A8" s="14" t="str">
        <f t="shared" ref="A8:A9" si="4">A7</f>
        <v>2019/2020</v>
      </c>
      <c r="B8" s="5" t="s">
        <v>15</v>
      </c>
      <c r="C8" s="10">
        <v>10</v>
      </c>
      <c r="D8" s="10">
        <v>5</v>
      </c>
      <c r="E8" s="10">
        <v>0</v>
      </c>
      <c r="F8" s="10">
        <v>0</v>
      </c>
      <c r="G8" s="10">
        <f t="shared" si="2"/>
        <v>10</v>
      </c>
      <c r="H8" s="10">
        <f t="shared" si="3"/>
        <v>5</v>
      </c>
    </row>
    <row r="9" spans="1:17" s="4" customFormat="1" ht="18">
      <c r="A9" s="14" t="str">
        <f t="shared" si="4"/>
        <v>2019/2020</v>
      </c>
      <c r="B9" s="5" t="s">
        <v>16</v>
      </c>
      <c r="C9" s="11">
        <f t="shared" ref="C9:F9" si="5">+C8+C7+C6</f>
        <v>130</v>
      </c>
      <c r="D9" s="11">
        <f t="shared" si="5"/>
        <v>425</v>
      </c>
      <c r="E9" s="11">
        <f t="shared" si="5"/>
        <v>120</v>
      </c>
      <c r="F9" s="11">
        <f t="shared" si="5"/>
        <v>605</v>
      </c>
      <c r="G9" s="11">
        <f t="shared" ref="G9" si="6">+G8+G7+G6</f>
        <v>250</v>
      </c>
      <c r="H9" s="11">
        <f t="shared" ref="H9" si="7">+H8+H7+H6</f>
        <v>1030</v>
      </c>
    </row>
    <row r="10" spans="1:17" ht="18">
      <c r="A10" s="14" t="s">
        <v>2</v>
      </c>
      <c r="B10" s="5" t="s">
        <v>13</v>
      </c>
      <c r="C10" s="10">
        <v>0</v>
      </c>
      <c r="D10" s="10">
        <v>0</v>
      </c>
      <c r="E10" s="10">
        <v>10</v>
      </c>
      <c r="F10" s="10">
        <v>0</v>
      </c>
      <c r="G10" s="10">
        <f>+E10+C10</f>
        <v>10</v>
      </c>
      <c r="H10" s="10">
        <f>+F10+D10</f>
        <v>0</v>
      </c>
    </row>
    <row r="11" spans="1:17" ht="18">
      <c r="A11" s="14" t="str">
        <f>A10</f>
        <v>2020/2021</v>
      </c>
      <c r="B11" s="5" t="s">
        <v>14</v>
      </c>
      <c r="C11" s="10">
        <v>120</v>
      </c>
      <c r="D11" s="10">
        <v>420</v>
      </c>
      <c r="E11" s="10">
        <v>110</v>
      </c>
      <c r="F11" s="10">
        <v>605</v>
      </c>
      <c r="G11" s="10">
        <f t="shared" ref="G11:G12" si="8">+E11+C11</f>
        <v>230</v>
      </c>
      <c r="H11" s="10">
        <f t="shared" ref="H11:H12" si="9">+F11+D11</f>
        <v>1025</v>
      </c>
    </row>
    <row r="12" spans="1:17" ht="18">
      <c r="A12" s="14" t="str">
        <f t="shared" ref="A12:A13" si="10">A11</f>
        <v>2020/2021</v>
      </c>
      <c r="B12" s="5" t="s">
        <v>15</v>
      </c>
      <c r="C12" s="10">
        <v>10</v>
      </c>
      <c r="D12" s="10">
        <v>5</v>
      </c>
      <c r="E12" s="10">
        <v>0</v>
      </c>
      <c r="F12" s="10">
        <v>0</v>
      </c>
      <c r="G12" s="10">
        <f t="shared" si="8"/>
        <v>10</v>
      </c>
      <c r="H12" s="10">
        <f t="shared" si="9"/>
        <v>5</v>
      </c>
    </row>
    <row r="13" spans="1:17" s="4" customFormat="1" ht="18">
      <c r="A13" s="14" t="str">
        <f t="shared" si="10"/>
        <v>2020/2021</v>
      </c>
      <c r="B13" s="5" t="s">
        <v>16</v>
      </c>
      <c r="C13" s="11">
        <f t="shared" ref="C13" si="11">+C12+C11+C10</f>
        <v>130</v>
      </c>
      <c r="D13" s="11">
        <f t="shared" ref="D13" si="12">+D12+D11+D10</f>
        <v>425</v>
      </c>
      <c r="E13" s="11">
        <f t="shared" ref="E13" si="13">+E12+E11+E10</f>
        <v>120</v>
      </c>
      <c r="F13" s="11">
        <f t="shared" ref="F13" si="14">+F12+F11+F10</f>
        <v>605</v>
      </c>
      <c r="G13" s="11">
        <f t="shared" ref="G13" si="15">+G12+G11+G10</f>
        <v>250</v>
      </c>
      <c r="H13" s="11">
        <f t="shared" ref="H13" si="16">+H12+H11+H10</f>
        <v>1030</v>
      </c>
    </row>
    <row r="14" spans="1:17" ht="18">
      <c r="A14" s="14" t="s">
        <v>3</v>
      </c>
      <c r="B14" s="5" t="s">
        <v>13</v>
      </c>
      <c r="C14" s="10">
        <v>0</v>
      </c>
      <c r="D14" s="10">
        <v>0</v>
      </c>
      <c r="E14" s="10">
        <v>10</v>
      </c>
      <c r="F14" s="10">
        <v>0</v>
      </c>
      <c r="G14" s="10">
        <f>+E14+C14</f>
        <v>10</v>
      </c>
      <c r="H14" s="10">
        <f>+F14+D14</f>
        <v>0</v>
      </c>
    </row>
    <row r="15" spans="1:17" ht="18">
      <c r="A15" s="14" t="str">
        <f>A14</f>
        <v>2021/2022</v>
      </c>
      <c r="B15" s="5" t="s">
        <v>14</v>
      </c>
      <c r="C15" s="10">
        <v>185</v>
      </c>
      <c r="D15" s="10">
        <v>440</v>
      </c>
      <c r="E15" s="10">
        <v>60</v>
      </c>
      <c r="F15" s="10">
        <v>480</v>
      </c>
      <c r="G15" s="10">
        <f t="shared" ref="G15:H16" si="17">+E15+C15</f>
        <v>245</v>
      </c>
      <c r="H15" s="10">
        <f t="shared" si="17"/>
        <v>920</v>
      </c>
    </row>
    <row r="16" spans="1:17" ht="18">
      <c r="A16" s="14" t="str">
        <f t="shared" ref="A16:A17" si="18">A15</f>
        <v>2021/2022</v>
      </c>
      <c r="B16" s="5" t="s">
        <v>15</v>
      </c>
      <c r="C16" s="10">
        <v>0</v>
      </c>
      <c r="D16" s="10">
        <v>0</v>
      </c>
      <c r="E16" s="10">
        <v>0</v>
      </c>
      <c r="F16" s="10">
        <v>0</v>
      </c>
      <c r="G16" s="10">
        <f t="shared" si="17"/>
        <v>0</v>
      </c>
      <c r="H16" s="10">
        <f t="shared" si="17"/>
        <v>0</v>
      </c>
    </row>
    <row r="17" spans="1:8" ht="18">
      <c r="A17" s="14" t="str">
        <f t="shared" si="18"/>
        <v>2021/2022</v>
      </c>
      <c r="B17" s="5" t="s">
        <v>16</v>
      </c>
      <c r="C17" s="11">
        <f>+C16+C15+C14</f>
        <v>185</v>
      </c>
      <c r="D17" s="11">
        <f t="shared" ref="D17:H17" si="19">+D16+D15+D14</f>
        <v>440</v>
      </c>
      <c r="E17" s="11">
        <f t="shared" si="19"/>
        <v>70</v>
      </c>
      <c r="F17" s="11">
        <f t="shared" si="19"/>
        <v>480</v>
      </c>
      <c r="G17" s="11">
        <f t="shared" si="19"/>
        <v>255</v>
      </c>
      <c r="H17" s="11">
        <f t="shared" si="19"/>
        <v>920</v>
      </c>
    </row>
    <row r="18" spans="1:8" ht="18">
      <c r="A18" s="7" t="s">
        <v>4</v>
      </c>
      <c r="B18" s="5" t="s">
        <v>13</v>
      </c>
      <c r="C18" s="10">
        <v>0</v>
      </c>
      <c r="D18" s="10">
        <v>0</v>
      </c>
      <c r="E18" s="10">
        <v>10</v>
      </c>
      <c r="F18" s="10">
        <v>0</v>
      </c>
      <c r="G18" s="10">
        <f>+E18+C18</f>
        <v>10</v>
      </c>
      <c r="H18" s="10">
        <f>+F18+D18</f>
        <v>0</v>
      </c>
    </row>
    <row r="19" spans="1:8" ht="18">
      <c r="A19" s="7" t="str">
        <f>A18</f>
        <v>2022/2023</v>
      </c>
      <c r="B19" s="5" t="s">
        <v>14</v>
      </c>
      <c r="C19" s="10">
        <v>185</v>
      </c>
      <c r="D19" s="10"/>
      <c r="E19" s="10">
        <v>60</v>
      </c>
      <c r="F19" s="10">
        <v>480</v>
      </c>
      <c r="G19" s="10">
        <f t="shared" ref="G19:G20" si="20">+E19+C19</f>
        <v>245</v>
      </c>
      <c r="H19" s="10">
        <v>220</v>
      </c>
    </row>
    <row r="20" spans="1:8" ht="18">
      <c r="A20" s="7" t="str">
        <f t="shared" ref="A20:A21" si="21">A19</f>
        <v>2022/2023</v>
      </c>
      <c r="B20" s="5" t="s">
        <v>15</v>
      </c>
      <c r="C20" s="10">
        <v>0</v>
      </c>
      <c r="D20" s="10">
        <v>0</v>
      </c>
      <c r="E20" s="10">
        <v>0</v>
      </c>
      <c r="F20" s="10">
        <v>0</v>
      </c>
      <c r="G20" s="10">
        <f t="shared" si="20"/>
        <v>0</v>
      </c>
      <c r="H20" s="10">
        <f t="shared" ref="H19:H20" si="22">+F20+D20</f>
        <v>0</v>
      </c>
    </row>
    <row r="21" spans="1:8" ht="18">
      <c r="A21" s="7" t="str">
        <f t="shared" si="21"/>
        <v>2022/2023</v>
      </c>
      <c r="B21" s="5" t="s">
        <v>16</v>
      </c>
      <c r="C21" s="11">
        <f>+C20+C19+C18</f>
        <v>185</v>
      </c>
      <c r="D21" s="11">
        <f t="shared" ref="D21:H21" si="23">+D20+D19+D18</f>
        <v>0</v>
      </c>
      <c r="E21" s="11">
        <f t="shared" si="23"/>
        <v>70</v>
      </c>
      <c r="F21" s="11">
        <f t="shared" si="23"/>
        <v>480</v>
      </c>
      <c r="G21" s="11">
        <f t="shared" si="23"/>
        <v>255</v>
      </c>
      <c r="H21" s="11">
        <f t="shared" si="23"/>
        <v>220</v>
      </c>
    </row>
    <row r="22" spans="1:8" ht="18">
      <c r="A22" s="7" t="s">
        <v>5</v>
      </c>
      <c r="B22" s="5" t="s">
        <v>13</v>
      </c>
      <c r="C22" s="10">
        <v>0</v>
      </c>
      <c r="D22" s="10">
        <v>0</v>
      </c>
      <c r="E22" s="10">
        <v>10</v>
      </c>
      <c r="F22" s="10">
        <v>0</v>
      </c>
      <c r="G22" s="10">
        <f>+E22+C22</f>
        <v>10</v>
      </c>
      <c r="H22" s="10">
        <f>+F22+D22</f>
        <v>0</v>
      </c>
    </row>
    <row r="23" spans="1:8" ht="18">
      <c r="A23" s="7" t="str">
        <f>A22</f>
        <v>2023/2024</v>
      </c>
      <c r="B23" s="5" t="s">
        <v>14</v>
      </c>
      <c r="C23" s="10">
        <v>185</v>
      </c>
      <c r="D23" s="10">
        <v>240</v>
      </c>
      <c r="E23" s="10">
        <v>60</v>
      </c>
      <c r="F23" s="10">
        <v>360</v>
      </c>
      <c r="G23" s="10">
        <f t="shared" ref="G23:G24" si="24">+E23+C23</f>
        <v>245</v>
      </c>
      <c r="H23" s="10">
        <f t="shared" ref="H23:H24" si="25">+F23+D23</f>
        <v>600</v>
      </c>
    </row>
    <row r="24" spans="1:8" ht="18">
      <c r="A24" s="7" t="str">
        <f t="shared" ref="A24:A25" si="26">A23</f>
        <v>2023/2024</v>
      </c>
      <c r="B24" s="5" t="s">
        <v>15</v>
      </c>
      <c r="C24" s="10">
        <v>0</v>
      </c>
      <c r="D24" s="10">
        <v>0</v>
      </c>
      <c r="E24" s="10">
        <v>0</v>
      </c>
      <c r="F24" s="10">
        <v>0</v>
      </c>
      <c r="G24" s="10">
        <f t="shared" si="24"/>
        <v>0</v>
      </c>
      <c r="H24" s="10">
        <f t="shared" si="25"/>
        <v>0</v>
      </c>
    </row>
    <row r="25" spans="1:8" ht="18">
      <c r="A25" s="7" t="str">
        <f t="shared" si="26"/>
        <v>2023/2024</v>
      </c>
      <c r="B25" s="5" t="s">
        <v>16</v>
      </c>
      <c r="C25" s="11">
        <f>+C24+C23+C22</f>
        <v>185</v>
      </c>
      <c r="D25" s="11">
        <f t="shared" ref="D25:H25" si="27">+D24+D23+D22</f>
        <v>240</v>
      </c>
      <c r="E25" s="11">
        <f t="shared" si="27"/>
        <v>70</v>
      </c>
      <c r="F25" s="11">
        <f t="shared" si="27"/>
        <v>360</v>
      </c>
      <c r="G25" s="11">
        <f t="shared" si="27"/>
        <v>255</v>
      </c>
      <c r="H25" s="11">
        <f t="shared" si="27"/>
        <v>600</v>
      </c>
    </row>
  </sheetData>
  <phoneticPr fontId="6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إنتاج الكروم عند التحويل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Hsayda</dc:creator>
  <cp:lastModifiedBy>Mohamed</cp:lastModifiedBy>
  <dcterms:created xsi:type="dcterms:W3CDTF">2020-01-09T09:16:08Z</dcterms:created>
  <dcterms:modified xsi:type="dcterms:W3CDTF">2025-10-07T11:33:40Z</dcterms:modified>
</cp:coreProperties>
</file>