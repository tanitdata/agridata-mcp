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1" l="1"/>
  <c r="E10" i="1"/>
  <c r="E6" i="1"/>
</calcChain>
</file>

<file path=xl/sharedStrings.xml><?xml version="1.0" encoding="utf-8"?>
<sst xmlns="http://schemas.openxmlformats.org/spreadsheetml/2006/main" count="112" uniqueCount="68">
  <si>
    <t>سنة الإدراج بالميزانية</t>
  </si>
  <si>
    <t>العناصر</t>
  </si>
  <si>
    <t>البرنامج</t>
  </si>
  <si>
    <t>المحتوى المادي</t>
  </si>
  <si>
    <t>المحتوى المالي (أد)</t>
  </si>
  <si>
    <t>ملاحظات</t>
  </si>
  <si>
    <t>2011</t>
  </si>
  <si>
    <t>حفر البئر العميقة الزلاز</t>
  </si>
  <si>
    <t>البرنامج الوطني</t>
  </si>
  <si>
    <t xml:space="preserve"> تقدم الإنجاز 100% ( 9 ل/ث)</t>
  </si>
  <si>
    <t>تزويد منطقة السطح بالماء الصالح للشراب</t>
  </si>
  <si>
    <t xml:space="preserve"> تقدم الإنجاز 100%</t>
  </si>
  <si>
    <t>تعهد مشروع الماء الصالح للشراب بالحشانة</t>
  </si>
  <si>
    <t>2010</t>
  </si>
  <si>
    <t>إحداث منطقة سقوية : الزنايدية بأم العرائس (40 هك)  (2 PISEAU )</t>
  </si>
  <si>
    <t>المشروع الثاني للتنمية الفلاحية المندمجة</t>
  </si>
  <si>
    <t xml:space="preserve"> إعادة تهيئة 25 هك وتوسعة 30 هك للمنطقة السقوية : برج رابح (55 هك)  (2 PISEAU )</t>
  </si>
  <si>
    <t>2013</t>
  </si>
  <si>
    <t>حفر بئر بسيدي بوضياف 2</t>
  </si>
  <si>
    <t xml:space="preserve"> تقدم الإنجاز 100% (12 ل/ث )</t>
  </si>
  <si>
    <t>حفر بئر بالدوارة - البخايرية</t>
  </si>
  <si>
    <t>إعادة تهيئة المنطقة السقوية العمومية أولاد بلحسن (25 هك) ( PISEAU 2 )</t>
  </si>
  <si>
    <t xml:space="preserve"> إحداث وتجهيز منطقة سقوية بأم العرائس :  اللوزة 2 (40 هك) ( PISEAU 2 )</t>
  </si>
  <si>
    <t>2014</t>
  </si>
  <si>
    <t>حفر البئر العميقة القطع2 بأم العرائس</t>
  </si>
  <si>
    <t xml:space="preserve"> PISEAU 2</t>
  </si>
  <si>
    <t xml:space="preserve"> تقدم الإنجاز 100% (4 ل/ث  بئر سلبة)</t>
  </si>
  <si>
    <t>تزويد منطقة هنشير النازية بالماء ص ش</t>
  </si>
  <si>
    <t xml:space="preserve">المشروع الجهوي للتنمية </t>
  </si>
  <si>
    <t>2012</t>
  </si>
  <si>
    <t>قسط عدد 4 : مد شبكة الماء الصالح للشراب بالطباقة السلاطنية وعين جنان الخروف (375 ساكن)</t>
  </si>
  <si>
    <t xml:space="preserve">قسط عدد 1 : مد  شبكة الماء الصالح للشراب بسيدي ناصر  </t>
  </si>
  <si>
    <t>بئر الاستغلال القرار 2</t>
  </si>
  <si>
    <t xml:space="preserve">برنامج التنمية المندمجة </t>
  </si>
  <si>
    <t xml:space="preserve"> تقدم الإنجاز 100% (27/ل/ث)</t>
  </si>
  <si>
    <t>إحداث منطقة سقوية القرار 2 (50 هك)</t>
  </si>
  <si>
    <t xml:space="preserve">المرحلة الاولى من الدراسة </t>
  </si>
  <si>
    <t>إعادة تهيئة المنطقة السقوية هنشير القلال والنازية(46 هك)</t>
  </si>
  <si>
    <t>حفر البئر التعويضية الشنوفية 2</t>
  </si>
  <si>
    <r>
      <t>تقدم الإنجاز 100</t>
    </r>
    <r>
      <rPr>
        <sz val="12"/>
        <rFont val="Calibri"/>
        <family val="2"/>
      </rPr>
      <t>% (13ل/ث و2 غ/ل)</t>
    </r>
  </si>
  <si>
    <t>حفر البئر التعويضية هنشير القلال مكرر</t>
  </si>
  <si>
    <r>
      <t>تقدم الإنجاز 100</t>
    </r>
    <r>
      <rPr>
        <sz val="12"/>
        <rFont val="Calibri"/>
        <family val="2"/>
      </rPr>
      <t>% (24ل/ث و2 غ/ل)</t>
    </r>
  </si>
  <si>
    <t>حفر بئر الإستغلال فطناسة</t>
  </si>
  <si>
    <t>برنامج المجلس الجهوي</t>
  </si>
  <si>
    <t xml:space="preserve">أشغال متوقفة بسبب عدم توافق الأهالي لتحديد موقع الحفر  </t>
  </si>
  <si>
    <t>حفر بئر الإستغلال البركة</t>
  </si>
  <si>
    <r>
      <t>تقدم الإنجاز 100</t>
    </r>
    <r>
      <rPr>
        <sz val="12"/>
        <rFont val="Calibri"/>
        <family val="2"/>
      </rPr>
      <t>% (19ل/ث و2,4 غ/ل)</t>
    </r>
  </si>
  <si>
    <t>2015</t>
  </si>
  <si>
    <t>حفر بئر بالدوارة - البخايرية 3</t>
  </si>
  <si>
    <t xml:space="preserve"> تقدم الإنجاز 100% (24/ل/ث)</t>
  </si>
  <si>
    <t>حفر بئر تعويضية برج رابح 2</t>
  </si>
  <si>
    <t xml:space="preserve"> تقدم الإنجاز 100% </t>
  </si>
  <si>
    <t>2016</t>
  </si>
  <si>
    <t>دراسة 30 كلم من المسالك الفلاحية بالشريط الحدودي</t>
  </si>
  <si>
    <t>مشروع التنمية الفلاحية المندمجة بالشريط الحدودي</t>
  </si>
  <si>
    <t>2017</t>
  </si>
  <si>
    <t>تزويد منطقة البخايرية 2 بالماء الصالح للشراب</t>
  </si>
  <si>
    <r>
      <t>تقدم الانجاز 90</t>
    </r>
    <r>
      <rPr>
        <sz val="12"/>
        <rFont val="Calibri"/>
        <family val="2"/>
      </rPr>
      <t>%</t>
    </r>
    <r>
      <rPr>
        <sz val="12"/>
        <rFont val="Arial"/>
        <family val="2"/>
      </rPr>
      <t xml:space="preserve"> وحاليا متوقف بسبب اعتراض المواطنين </t>
    </r>
  </si>
  <si>
    <t>حفر بئر للري ببن عمار "هنشير عزازة"</t>
  </si>
  <si>
    <t xml:space="preserve"> تقدم الإنجاز 100%(25/ل/ث 2غ/ل)   </t>
  </si>
  <si>
    <t>2018</t>
  </si>
  <si>
    <t>تهيئة وتعبيد 14 كلم من المسالك الفلاحية - (ام العرائس الزلاس)</t>
  </si>
  <si>
    <t>مقترح بميزانية 2018</t>
  </si>
  <si>
    <t xml:space="preserve">إحداث بئر عميقة بسيدي بوضياف لتدعيم مياه الري التكميلي </t>
  </si>
  <si>
    <t>بصدد اعداد كراس الشروط</t>
  </si>
  <si>
    <t>تجهيز وكهربة 03 آبار عميقة بوادي السردوك للماء الصالح للشرب وبالزلاس 2 وسيدي بوضياف للري التكميلي</t>
  </si>
  <si>
    <r>
      <t>واد السردوك و الزلاز</t>
    </r>
    <r>
      <rPr>
        <b/>
        <sz val="12"/>
        <rFont val="Arial"/>
        <family val="2"/>
      </rPr>
      <t>:</t>
    </r>
    <r>
      <rPr>
        <sz val="12"/>
        <rFont val="Arial"/>
        <family val="2"/>
      </rPr>
      <t xml:space="preserve"> مراسلة STEG و تمت الموافقة على البداية الأولية </t>
    </r>
  </si>
  <si>
    <t xml:space="preserve">المجموع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</si>
</sst>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Arabic Transparent"/>
      <charset val="178"/>
    </font>
    <font>
      <b/>
      <sz val="14"/>
      <color theme="1"/>
      <name val="Arabic Transparent"/>
      <charset val="178"/>
    </font>
    <font>
      <b/>
      <sz val="12"/>
      <color indexed="8"/>
      <name val="Times New Roman"/>
      <family val="1"/>
    </font>
    <font>
      <sz val="12"/>
      <name val="Arial"/>
      <family val="2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3"/>
      <name val="Calibri"/>
      <family val="2"/>
      <scheme val="minor"/>
    </font>
    <font>
      <sz val="11"/>
      <name val="Arial"/>
      <family val="2"/>
    </font>
    <font>
      <sz val="13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Arabic Transparent"/>
      <charset val="178"/>
    </font>
    <font>
      <sz val="12"/>
      <color theme="1"/>
      <name val="Arabic Transparent"/>
      <charset val="178"/>
    </font>
    <font>
      <b/>
      <sz val="12"/>
      <color theme="1"/>
      <name val="Arabic Transparent"/>
      <charset val="178"/>
    </font>
    <font>
      <sz val="12"/>
      <name val="Calibri"/>
      <family val="2"/>
    </font>
    <font>
      <b/>
      <sz val="12"/>
      <name val="Arial"/>
      <family val="2"/>
    </font>
    <font>
      <b/>
      <sz val="15"/>
      <color theme="1"/>
      <name val="Arabic Transparent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3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 readingOrder="2"/>
    </xf>
    <xf numFmtId="3" fontId="4" fillId="0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readingOrder="2"/>
    </xf>
    <xf numFmtId="3" fontId="8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 readingOrder="2"/>
    </xf>
    <xf numFmtId="0" fontId="14" fillId="0" borderId="1" xfId="0" applyFont="1" applyFill="1" applyBorder="1" applyAlignment="1">
      <alignment horizontal="center" vertical="center" wrapText="1" readingOrder="2"/>
    </xf>
    <xf numFmtId="3" fontId="15" fillId="0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 readingOrder="2"/>
    </xf>
    <xf numFmtId="0" fontId="0" fillId="0" borderId="1" xfId="0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2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sqref="A1:F30"/>
    </sheetView>
  </sheetViews>
  <sheetFormatPr baseColWidth="10" defaultColWidth="9.140625" defaultRowHeight="15" x14ac:dyDescent="0.25"/>
  <sheetData>
    <row r="1" spans="1:6" ht="54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60" x14ac:dyDescent="0.25">
      <c r="A2" s="4" t="s">
        <v>6</v>
      </c>
      <c r="B2" s="5" t="s">
        <v>7</v>
      </c>
      <c r="C2" s="6" t="s">
        <v>8</v>
      </c>
      <c r="D2" s="7">
        <v>1</v>
      </c>
      <c r="E2" s="7">
        <v>372.16</v>
      </c>
      <c r="F2" s="8" t="s">
        <v>9</v>
      </c>
    </row>
    <row r="3" spans="1:6" ht="90" x14ac:dyDescent="0.25">
      <c r="A3" s="4" t="s">
        <v>6</v>
      </c>
      <c r="B3" s="5" t="s">
        <v>10</v>
      </c>
      <c r="C3" s="6" t="s">
        <v>8</v>
      </c>
      <c r="D3" s="7">
        <v>1</v>
      </c>
      <c r="E3" s="7">
        <v>435</v>
      </c>
      <c r="F3" s="8" t="s">
        <v>11</v>
      </c>
    </row>
    <row r="4" spans="1:6" ht="90" x14ac:dyDescent="0.25">
      <c r="A4" s="4" t="s">
        <v>6</v>
      </c>
      <c r="B4" s="5" t="s">
        <v>12</v>
      </c>
      <c r="C4" s="6" t="s">
        <v>8</v>
      </c>
      <c r="D4" s="7">
        <v>1</v>
      </c>
      <c r="E4" s="7">
        <v>229.84630000000001</v>
      </c>
      <c r="F4" s="8" t="s">
        <v>11</v>
      </c>
    </row>
    <row r="5" spans="1:6" ht="150" x14ac:dyDescent="0.25">
      <c r="A5" s="4" t="s">
        <v>13</v>
      </c>
      <c r="B5" s="5" t="s">
        <v>14</v>
      </c>
      <c r="C5" s="9" t="s">
        <v>15</v>
      </c>
      <c r="D5" s="7">
        <v>1</v>
      </c>
      <c r="E5" s="7">
        <v>387</v>
      </c>
      <c r="F5" s="8" t="s">
        <v>11</v>
      </c>
    </row>
    <row r="6" spans="1:6" ht="180" x14ac:dyDescent="0.25">
      <c r="A6" s="4" t="s">
        <v>13</v>
      </c>
      <c r="B6" s="5" t="s">
        <v>16</v>
      </c>
      <c r="C6" s="9" t="s">
        <v>15</v>
      </c>
      <c r="D6" s="7">
        <v>1</v>
      </c>
      <c r="E6" s="10">
        <f>287.79+49.76</f>
        <v>337.55</v>
      </c>
      <c r="F6" s="8" t="s">
        <v>11</v>
      </c>
    </row>
    <row r="7" spans="1:6" ht="60" x14ac:dyDescent="0.25">
      <c r="A7" s="4" t="s">
        <v>17</v>
      </c>
      <c r="B7" s="5" t="s">
        <v>18</v>
      </c>
      <c r="C7" s="6" t="s">
        <v>8</v>
      </c>
      <c r="D7" s="7">
        <v>1</v>
      </c>
      <c r="E7" s="7">
        <v>225</v>
      </c>
      <c r="F7" s="11" t="s">
        <v>19</v>
      </c>
    </row>
    <row r="8" spans="1:6" ht="45" x14ac:dyDescent="0.25">
      <c r="A8" s="4" t="s">
        <v>17</v>
      </c>
      <c r="B8" s="5" t="s">
        <v>20</v>
      </c>
      <c r="C8" s="6" t="s">
        <v>8</v>
      </c>
      <c r="D8" s="7">
        <v>1</v>
      </c>
      <c r="E8" s="7">
        <v>158.43</v>
      </c>
      <c r="F8" s="8" t="s">
        <v>11</v>
      </c>
    </row>
    <row r="9" spans="1:6" ht="189.75" x14ac:dyDescent="0.25">
      <c r="A9" s="4" t="s">
        <v>17</v>
      </c>
      <c r="B9" s="12" t="s">
        <v>21</v>
      </c>
      <c r="C9" s="9" t="s">
        <v>15</v>
      </c>
      <c r="D9" s="7">
        <v>1</v>
      </c>
      <c r="E9" s="10">
        <v>387.13085999999998</v>
      </c>
      <c r="F9" s="8" t="s">
        <v>11</v>
      </c>
    </row>
    <row r="10" spans="1:6" ht="189.75" x14ac:dyDescent="0.25">
      <c r="A10" s="4" t="s">
        <v>17</v>
      </c>
      <c r="B10" s="12" t="s">
        <v>22</v>
      </c>
      <c r="C10" s="9" t="s">
        <v>15</v>
      </c>
      <c r="D10" s="7">
        <v>1</v>
      </c>
      <c r="E10" s="10">
        <f>754.969074+87+80</f>
        <v>921.96907399999998</v>
      </c>
      <c r="F10" s="8" t="s">
        <v>11</v>
      </c>
    </row>
    <row r="11" spans="1:6" ht="86.25" x14ac:dyDescent="0.25">
      <c r="A11" s="4" t="s">
        <v>23</v>
      </c>
      <c r="B11" s="12" t="s">
        <v>24</v>
      </c>
      <c r="C11" s="6" t="s">
        <v>25</v>
      </c>
      <c r="D11" s="7">
        <v>1</v>
      </c>
      <c r="E11" s="10">
        <v>299.13</v>
      </c>
      <c r="F11" s="11" t="s">
        <v>26</v>
      </c>
    </row>
    <row r="12" spans="1:6" ht="94.5" x14ac:dyDescent="0.25">
      <c r="A12" s="4" t="s">
        <v>6</v>
      </c>
      <c r="B12" s="13" t="s">
        <v>27</v>
      </c>
      <c r="C12" s="9" t="s">
        <v>28</v>
      </c>
      <c r="D12" s="7">
        <v>1</v>
      </c>
      <c r="E12" s="10">
        <v>246.82060000000001</v>
      </c>
      <c r="F12" s="8" t="s">
        <v>11</v>
      </c>
    </row>
    <row r="13" spans="1:6" ht="204.75" x14ac:dyDescent="0.25">
      <c r="A13" s="4" t="s">
        <v>29</v>
      </c>
      <c r="B13" s="13" t="s">
        <v>30</v>
      </c>
      <c r="C13" s="9" t="s">
        <v>28</v>
      </c>
      <c r="D13" s="7">
        <v>1</v>
      </c>
      <c r="E13" s="10">
        <v>326.34316000000001</v>
      </c>
      <c r="F13" s="8" t="s">
        <v>11</v>
      </c>
    </row>
    <row r="14" spans="1:6" ht="126" x14ac:dyDescent="0.25">
      <c r="A14" s="4" t="s">
        <v>17</v>
      </c>
      <c r="B14" s="13" t="s">
        <v>31</v>
      </c>
      <c r="C14" s="9" t="s">
        <v>28</v>
      </c>
      <c r="D14" s="7">
        <v>1</v>
      </c>
      <c r="E14" s="10">
        <v>340.12909999999999</v>
      </c>
      <c r="F14" s="8" t="s">
        <v>11</v>
      </c>
    </row>
    <row r="15" spans="1:6" ht="60" x14ac:dyDescent="0.25">
      <c r="A15" s="4">
        <v>2011</v>
      </c>
      <c r="B15" s="13" t="s">
        <v>32</v>
      </c>
      <c r="C15" s="14" t="s">
        <v>33</v>
      </c>
      <c r="D15" s="7">
        <v>1</v>
      </c>
      <c r="E15" s="10">
        <v>198.43</v>
      </c>
      <c r="F15" s="8" t="s">
        <v>34</v>
      </c>
    </row>
    <row r="16" spans="1:6" ht="78.75" x14ac:dyDescent="0.25">
      <c r="A16" s="4">
        <v>2012</v>
      </c>
      <c r="B16" s="13" t="s">
        <v>35</v>
      </c>
      <c r="C16" s="14" t="s">
        <v>33</v>
      </c>
      <c r="D16" s="7">
        <v>1</v>
      </c>
      <c r="E16" s="10">
        <v>500</v>
      </c>
      <c r="F16" s="8" t="s">
        <v>36</v>
      </c>
    </row>
    <row r="17" spans="1:6" ht="126" x14ac:dyDescent="0.25">
      <c r="A17" s="4">
        <v>2011</v>
      </c>
      <c r="B17" s="13" t="s">
        <v>37</v>
      </c>
      <c r="C17" s="14" t="s">
        <v>33</v>
      </c>
      <c r="D17" s="7">
        <v>1</v>
      </c>
      <c r="E17" s="10">
        <v>208.27</v>
      </c>
      <c r="F17" s="8" t="s">
        <v>11</v>
      </c>
    </row>
    <row r="18" spans="1:6" ht="78.75" x14ac:dyDescent="0.25">
      <c r="A18" s="15">
        <v>2014</v>
      </c>
      <c r="B18" s="5" t="s">
        <v>38</v>
      </c>
      <c r="C18" s="9" t="s">
        <v>8</v>
      </c>
      <c r="D18" s="16">
        <v>1</v>
      </c>
      <c r="E18" s="17">
        <v>111.12</v>
      </c>
      <c r="F18" s="18" t="s">
        <v>39</v>
      </c>
    </row>
    <row r="19" spans="1:6" ht="78.75" x14ac:dyDescent="0.25">
      <c r="A19" s="15">
        <v>2014</v>
      </c>
      <c r="B19" s="5" t="s">
        <v>40</v>
      </c>
      <c r="C19" s="9" t="s">
        <v>8</v>
      </c>
      <c r="D19" s="16">
        <v>1</v>
      </c>
      <c r="E19" s="17">
        <v>111.12</v>
      </c>
      <c r="F19" s="18" t="s">
        <v>41</v>
      </c>
    </row>
    <row r="20" spans="1:6" ht="105" x14ac:dyDescent="0.25">
      <c r="A20" s="15">
        <v>2014</v>
      </c>
      <c r="B20" s="5" t="s">
        <v>42</v>
      </c>
      <c r="C20" s="9" t="s">
        <v>43</v>
      </c>
      <c r="D20" s="16">
        <v>1</v>
      </c>
      <c r="E20" s="17">
        <v>300</v>
      </c>
      <c r="F20" s="8" t="s">
        <v>44</v>
      </c>
    </row>
    <row r="21" spans="1:6" ht="94.5" x14ac:dyDescent="0.25">
      <c r="A21" s="15">
        <v>2014</v>
      </c>
      <c r="B21" s="5" t="s">
        <v>45</v>
      </c>
      <c r="C21" s="9" t="s">
        <v>43</v>
      </c>
      <c r="D21" s="16">
        <v>1</v>
      </c>
      <c r="E21" s="17">
        <v>300</v>
      </c>
      <c r="F21" s="18" t="s">
        <v>46</v>
      </c>
    </row>
    <row r="22" spans="1:6" ht="60" x14ac:dyDescent="0.25">
      <c r="A22" s="4" t="s">
        <v>47</v>
      </c>
      <c r="B22" s="5" t="s">
        <v>48</v>
      </c>
      <c r="C22" s="9" t="s">
        <v>8</v>
      </c>
      <c r="D22" s="7">
        <v>1</v>
      </c>
      <c r="E22" s="7">
        <v>220</v>
      </c>
      <c r="F22" s="8" t="s">
        <v>49</v>
      </c>
    </row>
    <row r="23" spans="1:6" ht="60" x14ac:dyDescent="0.25">
      <c r="A23" s="4" t="s">
        <v>47</v>
      </c>
      <c r="B23" s="5" t="s">
        <v>50</v>
      </c>
      <c r="C23" s="9" t="s">
        <v>8</v>
      </c>
      <c r="D23" s="7">
        <v>1</v>
      </c>
      <c r="E23" s="7">
        <v>200</v>
      </c>
      <c r="F23" s="19" t="s">
        <v>51</v>
      </c>
    </row>
    <row r="24" spans="1:6" ht="105" x14ac:dyDescent="0.25">
      <c r="A24" s="4" t="s">
        <v>52</v>
      </c>
      <c r="B24" s="5" t="s">
        <v>53</v>
      </c>
      <c r="C24" s="9" t="s">
        <v>54</v>
      </c>
      <c r="D24" s="7">
        <v>1</v>
      </c>
      <c r="E24" s="7">
        <v>72</v>
      </c>
      <c r="F24" s="8" t="s">
        <v>51</v>
      </c>
    </row>
    <row r="25" spans="1:6" ht="120.75" x14ac:dyDescent="0.25">
      <c r="A25" s="4" t="s">
        <v>55</v>
      </c>
      <c r="B25" s="5" t="s">
        <v>56</v>
      </c>
      <c r="C25" s="9" t="s">
        <v>8</v>
      </c>
      <c r="D25" s="7">
        <v>1</v>
      </c>
      <c r="E25" s="7">
        <v>1040</v>
      </c>
      <c r="F25" s="20" t="s">
        <v>57</v>
      </c>
    </row>
    <row r="26" spans="1:6" ht="75" x14ac:dyDescent="0.25">
      <c r="A26" s="4" t="s">
        <v>55</v>
      </c>
      <c r="B26" s="5" t="s">
        <v>58</v>
      </c>
      <c r="C26" s="9" t="s">
        <v>8</v>
      </c>
      <c r="D26" s="7">
        <v>1</v>
      </c>
      <c r="E26" s="7">
        <v>177</v>
      </c>
      <c r="F26" s="19" t="s">
        <v>59</v>
      </c>
    </row>
    <row r="27" spans="1:6" ht="135" x14ac:dyDescent="0.25">
      <c r="A27" s="4" t="s">
        <v>60</v>
      </c>
      <c r="B27" s="5" t="s">
        <v>61</v>
      </c>
      <c r="C27" s="9" t="s">
        <v>54</v>
      </c>
      <c r="D27" s="7">
        <v>14</v>
      </c>
      <c r="E27" s="7">
        <v>2100</v>
      </c>
      <c r="F27" s="8" t="s">
        <v>62</v>
      </c>
    </row>
    <row r="28" spans="1:6" ht="105" x14ac:dyDescent="0.25">
      <c r="A28" s="4" t="s">
        <v>60</v>
      </c>
      <c r="B28" s="5" t="s">
        <v>63</v>
      </c>
      <c r="C28" s="9" t="s">
        <v>54</v>
      </c>
      <c r="D28" s="7">
        <v>1</v>
      </c>
      <c r="E28" s="7">
        <v>330</v>
      </c>
      <c r="F28" s="8" t="s">
        <v>64</v>
      </c>
    </row>
    <row r="29" spans="1:6" ht="210" x14ac:dyDescent="0.25">
      <c r="A29" s="4" t="s">
        <v>60</v>
      </c>
      <c r="B29" s="5" t="s">
        <v>65</v>
      </c>
      <c r="C29" s="9" t="s">
        <v>54</v>
      </c>
      <c r="D29" s="7">
        <v>3</v>
      </c>
      <c r="E29" s="7">
        <v>400</v>
      </c>
      <c r="F29" s="8" t="s">
        <v>66</v>
      </c>
    </row>
    <row r="30" spans="1:6" ht="19.5" x14ac:dyDescent="0.25">
      <c r="A30" s="21" t="s">
        <v>67</v>
      </c>
      <c r="B30" s="21"/>
      <c r="C30" s="21"/>
      <c r="D30" s="22"/>
      <c r="E30" s="23">
        <f>SUM(E2:E29)</f>
        <v>10934.449094</v>
      </c>
      <c r="F30" s="24"/>
    </row>
  </sheetData>
  <mergeCells count="1"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2023-05-18T11:02:24Z</dcterms:modified>
</cp:coreProperties>
</file>