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Office de céréales\"/>
    </mc:Choice>
  </mc:AlternateContent>
  <bookViews>
    <workbookView showHorizontalScroll="0" showVerticalScroll="0" showSheetTabs="0" xWindow="0" yWindow="0" windowWidth="28800" windowHeight="11805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AC25" i="1" l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sharedStrings.xml><?xml version="1.0" encoding="utf-8"?>
<sst xmlns="http://schemas.openxmlformats.org/spreadsheetml/2006/main" count="41" uniqueCount="29">
  <si>
    <t>ANNEE</t>
  </si>
  <si>
    <t>10 plan</t>
  </si>
  <si>
    <t>Tunis</t>
  </si>
  <si>
    <t xml:space="preserve"> </t>
  </si>
  <si>
    <t>Ariana</t>
  </si>
  <si>
    <t>Manouba</t>
  </si>
  <si>
    <t>Ben Arous</t>
  </si>
  <si>
    <t>Nabeul</t>
  </si>
  <si>
    <t>Bizerte</t>
  </si>
  <si>
    <t>Béja</t>
  </si>
  <si>
    <t>Jendouba</t>
  </si>
  <si>
    <t>Kef</t>
  </si>
  <si>
    <t>Siliana</t>
  </si>
  <si>
    <t>Zaghouan</t>
  </si>
  <si>
    <t>Sousse</t>
  </si>
  <si>
    <t>Monastir</t>
  </si>
  <si>
    <t>*</t>
  </si>
  <si>
    <t>Mahdia</t>
  </si>
  <si>
    <t>Sfax</t>
  </si>
  <si>
    <t>Kairouan</t>
  </si>
  <si>
    <t>Kasserine</t>
  </si>
  <si>
    <t>Sidi Bouzid</t>
  </si>
  <si>
    <t>Gafsa</t>
  </si>
  <si>
    <t xml:space="preserve">       *</t>
  </si>
  <si>
    <t>Gabès</t>
  </si>
  <si>
    <t>Medenine</t>
  </si>
  <si>
    <t>Tozeur</t>
  </si>
  <si>
    <t>Kébili</t>
  </si>
  <si>
    <t>Tatouine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</si>
</sst>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0_)"/>
    <numFmt numFmtId="166" formatCode="0.0"/>
  </numFmts>
  <fonts count="5">
    <font>
      <sz val="11"/>
      <color theme="1"/>
      <name val="Calibri"/>
      <family val="2"/>
      <scheme val="minor"/>
    </font>
    <font>
      <b/>
      <sz val="10"/>
      <name val="Courier"/>
      <family val="3"/>
    </font>
    <font>
      <b/>
      <sz val="12"/>
      <color theme="1"/>
      <name val="Arial"/>
      <family val="2"/>
    </font>
    <font>
      <b/>
      <sz val="12"/>
      <name val="Arial"/>
      <family val="2"/>
    </font>
    <font>
      <sz val="10"/>
      <name val="MS Sans Serif"/>
      <charset val="178"/>
    </font>
  </fonts>
  <fills count="3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164" fontId="1" fillId="2" borderId="1" xfId="0" applyNumberFormat="1" applyFont="1" applyFill="1" applyBorder="1" applyAlignment="1" applyProtection="1">
      <alignment horizontal="center"/>
    </xf>
    <xf numFmtId="0" fontId="0" fillId="0" borderId="1" xfId="0" applyBorder="1"/>
    <xf numFmtId="165" fontId="0" fillId="0" borderId="1" xfId="0" applyNumberFormat="1" applyFill="1" applyBorder="1" applyAlignment="1" applyProtection="1">
      <alignment horizontal="right"/>
    </xf>
    <xf numFmtId="166" fontId="0" fillId="0" borderId="0" xfId="0" applyNumberFormat="1"/>
    <xf numFmtId="164" fontId="1" fillId="2" borderId="1" xfId="0" applyNumberFormat="1" applyFont="1" applyFill="1" applyBorder="1" applyAlignment="1" applyProtection="1">
      <alignment horizontal="left"/>
    </xf>
    <xf numFmtId="164" fontId="2" fillId="0" borderId="1" xfId="0" applyNumberFormat="1" applyFont="1" applyBorder="1"/>
    <xf numFmtId="165" fontId="0" fillId="0" borderId="1" xfId="0" applyNumberFormat="1" applyBorder="1" applyProtection="1"/>
    <xf numFmtId="165" fontId="0" fillId="0" borderId="1" xfId="0" applyNumberFormat="1" applyBorder="1" applyAlignment="1" applyProtection="1">
      <alignment horizontal="right"/>
    </xf>
    <xf numFmtId="2" fontId="0" fillId="0" borderId="1" xfId="0" applyNumberFormat="1" applyBorder="1" applyAlignment="1" applyProtection="1">
      <alignment horizontal="right"/>
    </xf>
    <xf numFmtId="164" fontId="0" fillId="0" borderId="1" xfId="0" applyNumberFormat="1" applyBorder="1"/>
    <xf numFmtId="166" fontId="0" fillId="0" borderId="1" xfId="0" applyNumberFormat="1" applyBorder="1" applyAlignment="1" applyProtection="1">
      <alignment horizontal="right"/>
    </xf>
    <xf numFmtId="164" fontId="3" fillId="0" borderId="1" xfId="0" applyNumberFormat="1" applyFont="1" applyBorder="1"/>
    <xf numFmtId="165" fontId="0" fillId="0" borderId="1" xfId="0" applyNumberFormat="1" applyBorder="1" applyAlignment="1" applyProtection="1">
      <alignment horizontal="left"/>
    </xf>
    <xf numFmtId="1" fontId="0" fillId="0" borderId="1" xfId="0" applyNumberFormat="1" applyBorder="1" applyAlignment="1" applyProtection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64" fontId="1" fillId="2" borderId="2" xfId="0" applyNumberFormat="1" applyFont="1" applyFill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5"/>
  <sheetViews>
    <sheetView tabSelected="1" workbookViewId="0">
      <pane xSplit="4" topLeftCell="AM1" activePane="topRight" state="frozenSplit"/>
      <selection activeCell="A22" sqref="A22:XFD22"/>
      <selection pane="topRight" activeCell="BE5" sqref="BE5"/>
    </sheetView>
  </sheetViews>
  <sheetFormatPr baseColWidth="10" defaultRowHeight="15"/>
  <sheetData>
    <row r="1" spans="1:45">
      <c r="A1" s="5" t="s">
        <v>0</v>
      </c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 t="s">
        <v>1</v>
      </c>
      <c r="AD1" s="1">
        <v>2007</v>
      </c>
      <c r="AE1" s="1">
        <v>2008</v>
      </c>
      <c r="AF1" s="1">
        <v>2009</v>
      </c>
      <c r="AG1" s="1">
        <v>2010</v>
      </c>
      <c r="AH1" s="1">
        <v>2011</v>
      </c>
      <c r="AI1" s="1">
        <v>2012</v>
      </c>
      <c r="AJ1" s="1">
        <v>2013</v>
      </c>
      <c r="AK1" s="1">
        <v>2014</v>
      </c>
      <c r="AL1" s="1">
        <v>2015</v>
      </c>
      <c r="AM1" s="1">
        <v>2016</v>
      </c>
      <c r="AN1" s="1">
        <v>2017</v>
      </c>
      <c r="AO1" s="1">
        <v>2018</v>
      </c>
      <c r="AP1" s="18">
        <v>2019</v>
      </c>
      <c r="AQ1" s="18">
        <v>2020</v>
      </c>
    </row>
    <row r="2" spans="1:45" ht="15.75">
      <c r="A2" s="6" t="s">
        <v>2</v>
      </c>
      <c r="B2" s="7">
        <v>51.7</v>
      </c>
      <c r="C2" s="7">
        <v>27.3</v>
      </c>
      <c r="D2" s="7">
        <v>100.1</v>
      </c>
      <c r="E2" s="7">
        <v>38.4</v>
      </c>
      <c r="F2" s="7">
        <v>110</v>
      </c>
      <c r="G2" s="7">
        <v>14.2</v>
      </c>
      <c r="H2" s="7">
        <v>4</v>
      </c>
      <c r="I2" s="7">
        <v>17.399999999999999</v>
      </c>
      <c r="J2" s="7"/>
      <c r="K2" s="7">
        <v>3.1</v>
      </c>
      <c r="L2" s="7">
        <v>17.399999999999999</v>
      </c>
      <c r="M2" s="7">
        <v>17</v>
      </c>
      <c r="N2" s="7">
        <v>18</v>
      </c>
      <c r="O2" s="7">
        <v>13</v>
      </c>
      <c r="P2" s="7">
        <v>4</v>
      </c>
      <c r="Q2" s="7">
        <v>0.45</v>
      </c>
      <c r="R2" s="7">
        <v>18.2</v>
      </c>
      <c r="S2" s="8">
        <v>5.6</v>
      </c>
      <c r="T2" s="8">
        <v>11.4</v>
      </c>
      <c r="U2" s="8">
        <v>6.51</v>
      </c>
      <c r="V2" s="8">
        <v>3.19</v>
      </c>
      <c r="W2" s="8">
        <v>3.5</v>
      </c>
      <c r="X2" s="8" t="s">
        <v>3</v>
      </c>
      <c r="Y2" s="8">
        <v>10.31</v>
      </c>
      <c r="Z2" s="8">
        <v>9.4</v>
      </c>
      <c r="AA2" s="8">
        <v>4.8</v>
      </c>
      <c r="AB2" s="8">
        <v>9.1199999999999992</v>
      </c>
      <c r="AC2" s="8">
        <f t="shared" ref="AC2:AC7" si="0">SUM(X2:AB2)</f>
        <v>33.630000000000003</v>
      </c>
      <c r="AD2" s="8">
        <v>12</v>
      </c>
      <c r="AE2" s="8">
        <v>10.62</v>
      </c>
      <c r="AF2" s="8">
        <v>9.4</v>
      </c>
      <c r="AG2" s="8">
        <v>2.78</v>
      </c>
      <c r="AH2" s="8">
        <v>11.13</v>
      </c>
      <c r="AI2" s="8">
        <v>13.86</v>
      </c>
      <c r="AJ2" s="8">
        <v>10.88</v>
      </c>
      <c r="AK2" s="9">
        <v>14.4</v>
      </c>
      <c r="AL2" s="9">
        <v>10.050000000000001</v>
      </c>
      <c r="AM2" s="9">
        <v>10.23</v>
      </c>
      <c r="AN2" s="2">
        <v>0</v>
      </c>
      <c r="AO2" s="2">
        <v>13.4</v>
      </c>
      <c r="AP2" s="2">
        <v>11.99</v>
      </c>
      <c r="AQ2" s="2">
        <v>16.8</v>
      </c>
      <c r="AS2" s="4"/>
    </row>
    <row r="3" spans="1:45" ht="15.75">
      <c r="A3" s="6" t="s">
        <v>4</v>
      </c>
      <c r="B3" s="10"/>
      <c r="C3" s="10"/>
      <c r="D3" s="10"/>
      <c r="E3" s="10"/>
      <c r="F3" s="10"/>
      <c r="G3" s="7">
        <v>235.6</v>
      </c>
      <c r="H3" s="7">
        <v>29.2</v>
      </c>
      <c r="I3" s="7">
        <v>123.3</v>
      </c>
      <c r="J3" s="7">
        <v>5.4</v>
      </c>
      <c r="K3" s="7">
        <v>63</v>
      </c>
      <c r="L3" s="7">
        <v>111.6</v>
      </c>
      <c r="M3" s="7">
        <v>141</v>
      </c>
      <c r="N3" s="7">
        <v>179</v>
      </c>
      <c r="O3" s="7">
        <v>72</v>
      </c>
      <c r="P3" s="7">
        <v>19</v>
      </c>
      <c r="Q3" s="7">
        <v>21.3</v>
      </c>
      <c r="R3" s="7">
        <v>212.8</v>
      </c>
      <c r="S3" s="8">
        <v>64.2</v>
      </c>
      <c r="T3" s="8">
        <v>111.19</v>
      </c>
      <c r="U3" s="8">
        <v>186.03</v>
      </c>
      <c r="V3" s="8">
        <v>59.65</v>
      </c>
      <c r="W3" s="8">
        <v>44.2</v>
      </c>
      <c r="X3" s="8">
        <v>8.74</v>
      </c>
      <c r="Y3" s="8">
        <v>82.5</v>
      </c>
      <c r="Z3" s="8">
        <v>39.79</v>
      </c>
      <c r="AA3" s="8">
        <v>33.07</v>
      </c>
      <c r="AB3" s="8">
        <v>38.43</v>
      </c>
      <c r="AC3" s="8">
        <f t="shared" si="0"/>
        <v>202.53</v>
      </c>
      <c r="AD3" s="8">
        <v>41.69</v>
      </c>
      <c r="AE3" s="8">
        <v>61.64</v>
      </c>
      <c r="AF3" s="8">
        <v>79.88</v>
      </c>
      <c r="AG3" s="8">
        <v>57.82</v>
      </c>
      <c r="AH3" s="8">
        <v>54.26</v>
      </c>
      <c r="AI3" s="8">
        <v>34.68</v>
      </c>
      <c r="AJ3" s="8">
        <v>62.28</v>
      </c>
      <c r="AK3" s="8">
        <v>48.6</v>
      </c>
      <c r="AL3" s="8">
        <v>46.5</v>
      </c>
      <c r="AM3" s="8">
        <v>30.86</v>
      </c>
      <c r="AN3" s="2">
        <v>0</v>
      </c>
      <c r="AO3" s="2">
        <v>46</v>
      </c>
      <c r="AP3" s="2">
        <v>48.6</v>
      </c>
      <c r="AQ3" s="2">
        <v>35.31</v>
      </c>
      <c r="AS3" s="4"/>
    </row>
    <row r="4" spans="1:45" ht="15.75">
      <c r="A4" s="6" t="s">
        <v>5</v>
      </c>
      <c r="B4" s="10"/>
      <c r="C4" s="10"/>
      <c r="D4" s="10"/>
      <c r="E4" s="10"/>
      <c r="F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 t="s">
        <v>3</v>
      </c>
      <c r="W4" s="8">
        <v>112.5</v>
      </c>
      <c r="X4" s="8">
        <v>9.76</v>
      </c>
      <c r="Y4" s="8">
        <v>181.16</v>
      </c>
      <c r="Z4" s="8">
        <v>87.34</v>
      </c>
      <c r="AA4" s="8">
        <v>111.53</v>
      </c>
      <c r="AB4" s="8">
        <v>116.5</v>
      </c>
      <c r="AC4" s="8">
        <f t="shared" si="0"/>
        <v>506.28999999999996</v>
      </c>
      <c r="AD4" s="8">
        <v>111.3</v>
      </c>
      <c r="AE4" s="8">
        <v>162.05000000000001</v>
      </c>
      <c r="AF4" s="8">
        <v>257.13</v>
      </c>
      <c r="AG4" s="8">
        <v>128.4</v>
      </c>
      <c r="AH4" s="8">
        <v>156.72999999999999</v>
      </c>
      <c r="AI4" s="8">
        <v>240.2</v>
      </c>
      <c r="AJ4" s="8">
        <v>171</v>
      </c>
      <c r="AK4" s="8">
        <v>164.91</v>
      </c>
      <c r="AL4" s="8">
        <v>135.06</v>
      </c>
      <c r="AM4" s="8">
        <v>114.51</v>
      </c>
      <c r="AN4" s="2">
        <v>0</v>
      </c>
      <c r="AO4" s="2">
        <v>174.7</v>
      </c>
      <c r="AP4" s="2">
        <v>191.55</v>
      </c>
      <c r="AQ4" s="2">
        <v>169.94</v>
      </c>
      <c r="AS4" s="4"/>
    </row>
    <row r="5" spans="1:45" ht="15.75">
      <c r="A5" s="6" t="s">
        <v>6</v>
      </c>
      <c r="B5" s="10"/>
      <c r="C5" s="10"/>
      <c r="D5" s="10"/>
      <c r="E5" s="10"/>
      <c r="F5" s="10"/>
      <c r="G5" s="7">
        <v>24.2</v>
      </c>
      <c r="H5" s="7">
        <v>4.2</v>
      </c>
      <c r="I5" s="7">
        <v>60</v>
      </c>
      <c r="J5" s="7"/>
      <c r="K5" s="7">
        <v>5.4</v>
      </c>
      <c r="L5" s="7">
        <v>27.8</v>
      </c>
      <c r="M5" s="7">
        <v>85</v>
      </c>
      <c r="N5" s="7">
        <v>17</v>
      </c>
      <c r="O5" s="7">
        <v>70</v>
      </c>
      <c r="P5" s="7">
        <v>15</v>
      </c>
      <c r="Q5" s="7">
        <v>4.8</v>
      </c>
      <c r="R5" s="7">
        <v>31.4</v>
      </c>
      <c r="S5" s="8">
        <v>17.95</v>
      </c>
      <c r="T5" s="8">
        <v>36.75</v>
      </c>
      <c r="U5" s="8">
        <v>36.61</v>
      </c>
      <c r="V5" s="8">
        <v>22.82</v>
      </c>
      <c r="W5" s="8">
        <v>45.1</v>
      </c>
      <c r="X5" s="8">
        <v>2.12</v>
      </c>
      <c r="Y5" s="8">
        <v>85.19</v>
      </c>
      <c r="Z5" s="8">
        <v>37.06</v>
      </c>
      <c r="AA5" s="8">
        <v>36.200000000000003</v>
      </c>
      <c r="AB5" s="8">
        <v>29.82</v>
      </c>
      <c r="AC5" s="8">
        <f t="shared" si="0"/>
        <v>190.39</v>
      </c>
      <c r="AD5" s="8">
        <v>29.64</v>
      </c>
      <c r="AE5" s="8">
        <v>28.87</v>
      </c>
      <c r="AF5" s="8">
        <v>54.97</v>
      </c>
      <c r="AG5" s="8">
        <v>28.11</v>
      </c>
      <c r="AH5" s="8">
        <v>82.9</v>
      </c>
      <c r="AI5" s="8">
        <v>66.150000000000006</v>
      </c>
      <c r="AJ5" s="8">
        <v>43.4</v>
      </c>
      <c r="AK5" s="8">
        <v>42.04</v>
      </c>
      <c r="AL5" s="8">
        <v>22.67</v>
      </c>
      <c r="AM5" s="8">
        <v>22.96</v>
      </c>
      <c r="AN5" s="2">
        <v>0</v>
      </c>
      <c r="AO5" s="2">
        <v>22.14</v>
      </c>
      <c r="AP5" s="2">
        <v>56.39</v>
      </c>
      <c r="AQ5" s="2">
        <v>50.61</v>
      </c>
      <c r="AS5" s="4"/>
    </row>
    <row r="6" spans="1:45" ht="15.75">
      <c r="A6" s="6" t="s">
        <v>7</v>
      </c>
      <c r="B6" s="7">
        <v>214.1</v>
      </c>
      <c r="C6" s="7">
        <v>141</v>
      </c>
      <c r="D6" s="7">
        <v>310.10000000000002</v>
      </c>
      <c r="E6" s="7">
        <v>158.19999999999999</v>
      </c>
      <c r="F6" s="7">
        <v>205.3</v>
      </c>
      <c r="G6" s="7">
        <v>273</v>
      </c>
      <c r="H6" s="7">
        <v>169</v>
      </c>
      <c r="I6" s="7">
        <v>412.8</v>
      </c>
      <c r="J6" s="7">
        <v>27</v>
      </c>
      <c r="K6" s="7">
        <v>211.2</v>
      </c>
      <c r="L6" s="7">
        <v>246.4</v>
      </c>
      <c r="M6" s="7">
        <v>354</v>
      </c>
      <c r="N6" s="7">
        <v>332</v>
      </c>
      <c r="O6" s="7">
        <v>210</v>
      </c>
      <c r="P6" s="7">
        <v>186</v>
      </c>
      <c r="Q6" s="7">
        <v>146</v>
      </c>
      <c r="R6" s="7">
        <v>273</v>
      </c>
      <c r="S6" s="8">
        <v>244.06</v>
      </c>
      <c r="T6" s="8">
        <v>246.8</v>
      </c>
      <c r="U6" s="8">
        <v>314.14</v>
      </c>
      <c r="V6" s="8">
        <v>340</v>
      </c>
      <c r="W6" s="8">
        <v>296</v>
      </c>
      <c r="X6" s="8">
        <v>137</v>
      </c>
      <c r="Y6" s="8">
        <v>456.78</v>
      </c>
      <c r="Z6" s="8">
        <v>438.5</v>
      </c>
      <c r="AA6" s="8">
        <v>470</v>
      </c>
      <c r="AB6" s="8">
        <v>390.46</v>
      </c>
      <c r="AC6" s="8">
        <f t="shared" si="0"/>
        <v>1892.74</v>
      </c>
      <c r="AD6" s="8">
        <v>337.06</v>
      </c>
      <c r="AE6" s="8">
        <v>412.62</v>
      </c>
      <c r="AF6" s="8">
        <v>537.95000000000005</v>
      </c>
      <c r="AG6" s="8">
        <v>346</v>
      </c>
      <c r="AH6" s="8">
        <v>447.1</v>
      </c>
      <c r="AI6" s="8">
        <v>497</v>
      </c>
      <c r="AJ6" s="8">
        <v>434.55</v>
      </c>
      <c r="AK6" s="8">
        <v>483.7</v>
      </c>
      <c r="AL6" s="8">
        <v>484.85</v>
      </c>
      <c r="AM6" s="8">
        <v>256.56</v>
      </c>
      <c r="AN6" s="2">
        <v>0</v>
      </c>
      <c r="AO6" s="2">
        <v>367.31</v>
      </c>
      <c r="AP6" s="2">
        <v>531.24</v>
      </c>
      <c r="AQ6" s="2">
        <v>421.69499999999999</v>
      </c>
      <c r="AS6" s="4"/>
    </row>
    <row r="7" spans="1:45" ht="15.75">
      <c r="A7" s="6" t="s">
        <v>8</v>
      </c>
      <c r="B7" s="7">
        <v>187</v>
      </c>
      <c r="C7" s="7">
        <v>118.2</v>
      </c>
      <c r="D7" s="7">
        <v>215.7</v>
      </c>
      <c r="E7" s="7">
        <v>150</v>
      </c>
      <c r="F7" s="7">
        <v>188.2</v>
      </c>
      <c r="G7" s="7">
        <v>130</v>
      </c>
      <c r="H7" s="7">
        <v>194.5</v>
      </c>
      <c r="I7" s="7">
        <v>125</v>
      </c>
      <c r="J7" s="7">
        <v>25</v>
      </c>
      <c r="K7" s="7">
        <v>88</v>
      </c>
      <c r="L7" s="7">
        <v>96</v>
      </c>
      <c r="M7" s="7">
        <v>78</v>
      </c>
      <c r="N7" s="7">
        <v>103</v>
      </c>
      <c r="O7" s="7">
        <v>131</v>
      </c>
      <c r="P7" s="7">
        <v>54</v>
      </c>
      <c r="Q7" s="7">
        <v>63.5</v>
      </c>
      <c r="R7" s="7">
        <v>126.3</v>
      </c>
      <c r="S7" s="8">
        <v>100.57</v>
      </c>
      <c r="T7" s="8">
        <v>65.5</v>
      </c>
      <c r="U7" s="8">
        <v>156.6</v>
      </c>
      <c r="V7" s="8">
        <v>201.57</v>
      </c>
      <c r="W7" s="8">
        <v>174.9</v>
      </c>
      <c r="X7" s="8">
        <v>73.849999999999994</v>
      </c>
      <c r="Y7" s="8">
        <v>238.57</v>
      </c>
      <c r="Z7" s="8">
        <v>156.63999999999999</v>
      </c>
      <c r="AA7" s="8">
        <v>131.61000000000001</v>
      </c>
      <c r="AB7" s="8">
        <v>136.12</v>
      </c>
      <c r="AC7" s="8">
        <f t="shared" si="0"/>
        <v>736.79</v>
      </c>
      <c r="AD7" s="8">
        <v>132.11000000000001</v>
      </c>
      <c r="AE7" s="8">
        <v>142.29</v>
      </c>
      <c r="AF7" s="8">
        <v>227.16</v>
      </c>
      <c r="AG7" s="8">
        <v>149.12</v>
      </c>
      <c r="AH7" s="8">
        <v>137.01</v>
      </c>
      <c r="AI7" s="8">
        <v>117.87</v>
      </c>
      <c r="AJ7" s="8">
        <v>129.16999999999999</v>
      </c>
      <c r="AK7" s="8">
        <v>141.79</v>
      </c>
      <c r="AL7" s="8">
        <v>125.32</v>
      </c>
      <c r="AM7" s="8">
        <v>181.6</v>
      </c>
      <c r="AN7" s="2">
        <v>0</v>
      </c>
      <c r="AO7" s="2">
        <v>129.03</v>
      </c>
      <c r="AP7" s="2">
        <v>236.2</v>
      </c>
      <c r="AQ7" s="2">
        <v>173.1</v>
      </c>
      <c r="AS7" s="4"/>
    </row>
    <row r="8" spans="1:45" ht="15.75">
      <c r="A8" s="6" t="s">
        <v>9</v>
      </c>
      <c r="B8" s="7">
        <v>194.3</v>
      </c>
      <c r="C8" s="7">
        <v>166.6</v>
      </c>
      <c r="D8" s="7">
        <v>308.8</v>
      </c>
      <c r="E8" s="7">
        <v>203.7</v>
      </c>
      <c r="F8" s="7">
        <v>310.8</v>
      </c>
      <c r="G8" s="7">
        <v>395</v>
      </c>
      <c r="H8" s="7">
        <v>141</v>
      </c>
      <c r="I8" s="7">
        <v>328.5</v>
      </c>
      <c r="J8" s="7">
        <v>63.8</v>
      </c>
      <c r="K8" s="7">
        <v>118</v>
      </c>
      <c r="L8" s="7">
        <v>275</v>
      </c>
      <c r="M8" s="7">
        <v>441</v>
      </c>
      <c r="N8" s="7">
        <v>347</v>
      </c>
      <c r="O8" s="7">
        <v>300</v>
      </c>
      <c r="P8" s="7">
        <v>67</v>
      </c>
      <c r="Q8" s="7">
        <v>63.4</v>
      </c>
      <c r="R8" s="7">
        <v>239.4</v>
      </c>
      <c r="S8" s="8">
        <v>200.67</v>
      </c>
      <c r="T8" s="8">
        <v>196.86</v>
      </c>
      <c r="U8" s="8">
        <v>216.12</v>
      </c>
      <c r="V8" s="8">
        <v>98.45</v>
      </c>
      <c r="W8" s="8">
        <v>225</v>
      </c>
      <c r="X8" s="8">
        <v>38.24</v>
      </c>
      <c r="Y8" s="8">
        <v>390.15</v>
      </c>
      <c r="Z8" s="8">
        <v>342.5</v>
      </c>
      <c r="AA8" s="8">
        <v>301.99</v>
      </c>
      <c r="AB8" s="8">
        <v>206.18</v>
      </c>
      <c r="AC8" s="8">
        <f>SUM(X8:AB8)</f>
        <v>1279.0600000000002</v>
      </c>
      <c r="AD8" s="8">
        <v>369.07</v>
      </c>
      <c r="AE8" s="8">
        <v>287.37</v>
      </c>
      <c r="AF8" s="8">
        <v>425.5</v>
      </c>
      <c r="AG8" s="8">
        <v>207.01</v>
      </c>
      <c r="AH8" s="8">
        <v>330.72</v>
      </c>
      <c r="AI8" s="8">
        <v>296.67</v>
      </c>
      <c r="AJ8" s="8">
        <v>257.25</v>
      </c>
      <c r="AK8" s="8">
        <v>329.42</v>
      </c>
      <c r="AL8" s="8">
        <v>245.5</v>
      </c>
      <c r="AM8" s="8">
        <v>236.39</v>
      </c>
      <c r="AN8" s="3">
        <v>269</v>
      </c>
      <c r="AO8" s="2">
        <v>293.56</v>
      </c>
      <c r="AP8" s="2">
        <v>500</v>
      </c>
      <c r="AQ8" s="2">
        <v>320</v>
      </c>
      <c r="AS8" s="4"/>
    </row>
    <row r="9" spans="1:45" ht="15.75">
      <c r="A9" s="6" t="s">
        <v>10</v>
      </c>
      <c r="B9" s="7">
        <v>195.8</v>
      </c>
      <c r="C9" s="7">
        <v>198.4</v>
      </c>
      <c r="D9" s="7">
        <v>280</v>
      </c>
      <c r="E9" s="7">
        <v>187</v>
      </c>
      <c r="F9" s="7">
        <v>266</v>
      </c>
      <c r="G9" s="7">
        <v>225</v>
      </c>
      <c r="H9" s="7">
        <v>117.6</v>
      </c>
      <c r="I9" s="7">
        <v>277.5</v>
      </c>
      <c r="J9" s="7">
        <v>55</v>
      </c>
      <c r="K9" s="7">
        <v>72.8</v>
      </c>
      <c r="L9" s="7">
        <v>58.2</v>
      </c>
      <c r="M9" s="7">
        <v>327</v>
      </c>
      <c r="N9" s="7">
        <v>208</v>
      </c>
      <c r="O9" s="7">
        <v>172</v>
      </c>
      <c r="P9" s="7">
        <v>94</v>
      </c>
      <c r="Q9" s="7">
        <v>131.44999999999999</v>
      </c>
      <c r="R9" s="7">
        <v>173.7</v>
      </c>
      <c r="S9" s="8">
        <v>135.66999999999999</v>
      </c>
      <c r="T9" s="8">
        <v>167.04</v>
      </c>
      <c r="U9" s="8">
        <v>167.7</v>
      </c>
      <c r="V9" s="8">
        <v>135</v>
      </c>
      <c r="W9" s="8">
        <v>199.4</v>
      </c>
      <c r="X9" s="8">
        <v>107.4</v>
      </c>
      <c r="Y9" s="8">
        <v>258.95999999999998</v>
      </c>
      <c r="Z9" s="8">
        <v>185.69</v>
      </c>
      <c r="AA9" s="8">
        <v>201.67</v>
      </c>
      <c r="AB9" s="8">
        <v>175.38</v>
      </c>
      <c r="AC9" s="8">
        <f>SUM(X9:AB9)</f>
        <v>929.09999999999991</v>
      </c>
      <c r="AD9" s="8">
        <v>197.09</v>
      </c>
      <c r="AE9" s="8">
        <v>180.86</v>
      </c>
      <c r="AF9" s="8">
        <v>355.71</v>
      </c>
      <c r="AG9" s="8">
        <v>154.55000000000001</v>
      </c>
      <c r="AH9" s="8">
        <v>297.88</v>
      </c>
      <c r="AI9" s="8">
        <v>232</v>
      </c>
      <c r="AJ9" s="8">
        <v>236.76</v>
      </c>
      <c r="AK9" s="8">
        <v>315.29000000000002</v>
      </c>
      <c r="AL9" s="8">
        <v>229.42</v>
      </c>
      <c r="AM9" s="8">
        <v>235.25</v>
      </c>
      <c r="AN9" s="3">
        <v>246</v>
      </c>
      <c r="AO9" s="2">
        <v>242.67</v>
      </c>
      <c r="AP9" s="2">
        <v>351.83199999999999</v>
      </c>
      <c r="AQ9" s="2">
        <v>170.63149999999999</v>
      </c>
      <c r="AS9" s="4"/>
    </row>
    <row r="10" spans="1:45" ht="15.75">
      <c r="A10" s="6" t="s">
        <v>11</v>
      </c>
      <c r="B10" s="7">
        <v>497.6</v>
      </c>
      <c r="C10" s="7">
        <v>470.7</v>
      </c>
      <c r="D10" s="7">
        <v>630</v>
      </c>
      <c r="E10" s="7">
        <v>540.29999999999995</v>
      </c>
      <c r="F10" s="7">
        <v>602</v>
      </c>
      <c r="G10" s="7">
        <v>991.9</v>
      </c>
      <c r="H10" s="7">
        <v>249.6</v>
      </c>
      <c r="I10" s="7">
        <v>1216</v>
      </c>
      <c r="J10" s="7">
        <v>7</v>
      </c>
      <c r="K10" s="7">
        <v>180</v>
      </c>
      <c r="L10" s="7">
        <v>500</v>
      </c>
      <c r="M10" s="7">
        <v>1439</v>
      </c>
      <c r="N10" s="7">
        <v>1160</v>
      </c>
      <c r="O10" s="7">
        <v>935</v>
      </c>
      <c r="P10" s="7">
        <v>141</v>
      </c>
      <c r="Q10" s="7">
        <v>28.7</v>
      </c>
      <c r="R10" s="7">
        <v>900.1</v>
      </c>
      <c r="S10" s="8">
        <v>290.93</v>
      </c>
      <c r="T10" s="8">
        <v>742.6</v>
      </c>
      <c r="U10" s="8">
        <v>711.82</v>
      </c>
      <c r="V10" s="8">
        <v>280.85000000000002</v>
      </c>
      <c r="W10" s="8">
        <v>388.3</v>
      </c>
      <c r="X10" s="8">
        <v>83.61</v>
      </c>
      <c r="Y10" s="8">
        <v>2445.34</v>
      </c>
      <c r="Z10" s="8">
        <v>959.8</v>
      </c>
      <c r="AA10" s="8">
        <v>817.5</v>
      </c>
      <c r="AB10" s="8">
        <v>428.26</v>
      </c>
      <c r="AC10" s="8">
        <f>SUM(X10:AB10)</f>
        <v>4734.51</v>
      </c>
      <c r="AD10" s="8">
        <v>1255.48</v>
      </c>
      <c r="AE10" s="8">
        <v>181.94</v>
      </c>
      <c r="AF10" s="8">
        <v>1948.49</v>
      </c>
      <c r="AG10" s="8">
        <v>262.5</v>
      </c>
      <c r="AH10" s="8">
        <v>1470.4</v>
      </c>
      <c r="AI10" s="8">
        <v>1563.6</v>
      </c>
      <c r="AJ10" s="8">
        <v>562.41</v>
      </c>
      <c r="AK10" s="8">
        <v>1896.87</v>
      </c>
      <c r="AL10" s="8">
        <v>1024.55</v>
      </c>
      <c r="AM10" s="8">
        <v>1106.4549999999999</v>
      </c>
      <c r="AN10" s="3">
        <v>476</v>
      </c>
      <c r="AO10" s="2">
        <v>580.78</v>
      </c>
      <c r="AP10" s="2">
        <v>2829.5149999999999</v>
      </c>
      <c r="AQ10" s="2">
        <v>1400.425</v>
      </c>
      <c r="AS10" s="4"/>
    </row>
    <row r="11" spans="1:45" ht="15.75">
      <c r="A11" s="6" t="s">
        <v>12</v>
      </c>
      <c r="B11" s="7">
        <v>281.89999999999998</v>
      </c>
      <c r="C11" s="7">
        <v>325.10000000000002</v>
      </c>
      <c r="D11" s="7">
        <v>417.1</v>
      </c>
      <c r="E11" s="7">
        <v>214.9</v>
      </c>
      <c r="F11" s="7">
        <v>310.8</v>
      </c>
      <c r="G11" s="7">
        <v>502.9</v>
      </c>
      <c r="H11" s="7">
        <v>145.19999999999999</v>
      </c>
      <c r="I11" s="7">
        <v>704.6</v>
      </c>
      <c r="J11" s="7">
        <v>147</v>
      </c>
      <c r="K11" s="7">
        <v>100.5</v>
      </c>
      <c r="L11" s="7">
        <v>487.3</v>
      </c>
      <c r="M11" s="7">
        <v>694</v>
      </c>
      <c r="N11" s="7">
        <v>993</v>
      </c>
      <c r="O11" s="7">
        <v>590</v>
      </c>
      <c r="P11" s="7">
        <v>40</v>
      </c>
      <c r="Q11" s="7">
        <v>23</v>
      </c>
      <c r="R11" s="7">
        <v>724.4</v>
      </c>
      <c r="S11" s="8">
        <v>264.64999999999998</v>
      </c>
      <c r="T11" s="8">
        <v>521.23</v>
      </c>
      <c r="U11" s="8">
        <v>432.1</v>
      </c>
      <c r="V11" s="8">
        <v>164.27</v>
      </c>
      <c r="W11" s="8">
        <v>370</v>
      </c>
      <c r="X11" s="8">
        <v>56.87</v>
      </c>
      <c r="Y11" s="8">
        <v>1128.3</v>
      </c>
      <c r="Z11" s="8">
        <v>603.24</v>
      </c>
      <c r="AA11" s="8">
        <v>421.56</v>
      </c>
      <c r="AB11" s="8">
        <v>359.5</v>
      </c>
      <c r="AC11" s="8">
        <f>SUM(X11:AB11)</f>
        <v>2569.4699999999998</v>
      </c>
      <c r="AD11" s="8">
        <v>640.41</v>
      </c>
      <c r="AE11" s="8">
        <v>175</v>
      </c>
      <c r="AF11" s="8">
        <v>934.2</v>
      </c>
      <c r="AG11" s="8">
        <v>196.65</v>
      </c>
      <c r="AH11" s="8">
        <v>803.4</v>
      </c>
      <c r="AI11" s="8">
        <v>928</v>
      </c>
      <c r="AJ11" s="8">
        <v>374.3</v>
      </c>
      <c r="AK11" s="8">
        <v>1025.5</v>
      </c>
      <c r="AL11" s="8">
        <v>315.93</v>
      </c>
      <c r="AM11" s="8">
        <v>397.89</v>
      </c>
      <c r="AN11" s="3">
        <v>513</v>
      </c>
      <c r="AO11" s="2">
        <v>362.39</v>
      </c>
      <c r="AP11" s="2">
        <v>1295.95</v>
      </c>
      <c r="AQ11" s="2">
        <v>417.61900000000003</v>
      </c>
      <c r="AS11" s="4"/>
    </row>
    <row r="12" spans="1:45" ht="15.75">
      <c r="A12" s="6" t="s">
        <v>13</v>
      </c>
      <c r="B12" s="7">
        <v>522.6</v>
      </c>
      <c r="C12" s="7">
        <v>414.2</v>
      </c>
      <c r="D12" s="7">
        <v>512.5</v>
      </c>
      <c r="E12" s="7">
        <v>334.9</v>
      </c>
      <c r="F12" s="7">
        <v>297.5</v>
      </c>
      <c r="G12" s="7">
        <v>424.8</v>
      </c>
      <c r="H12" s="7">
        <v>87.5</v>
      </c>
      <c r="I12" s="7">
        <v>440</v>
      </c>
      <c r="J12" s="7">
        <v>1.3</v>
      </c>
      <c r="K12" s="7">
        <v>25.7</v>
      </c>
      <c r="L12" s="7">
        <v>249.8</v>
      </c>
      <c r="M12" s="7">
        <v>481</v>
      </c>
      <c r="N12" s="7">
        <v>382</v>
      </c>
      <c r="O12" s="7">
        <v>198</v>
      </c>
      <c r="P12" s="7">
        <v>34</v>
      </c>
      <c r="Q12" s="7">
        <v>4.2</v>
      </c>
      <c r="R12" s="7">
        <v>411</v>
      </c>
      <c r="S12" s="8">
        <v>71.14</v>
      </c>
      <c r="T12" s="8">
        <v>126.27</v>
      </c>
      <c r="U12" s="8">
        <v>360.43</v>
      </c>
      <c r="V12" s="8">
        <v>144.27000000000001</v>
      </c>
      <c r="W12" s="8">
        <v>163</v>
      </c>
      <c r="X12" s="8">
        <v>17.260000000000002</v>
      </c>
      <c r="Y12" s="8">
        <v>525.27</v>
      </c>
      <c r="Z12" s="8">
        <v>452.7</v>
      </c>
      <c r="AA12" s="8">
        <v>402.46</v>
      </c>
      <c r="AB12" s="8">
        <v>237.55</v>
      </c>
      <c r="AC12" s="8">
        <f>SUM(X12:AB12)</f>
        <v>1635.24</v>
      </c>
      <c r="AD12" s="8">
        <v>313.57</v>
      </c>
      <c r="AE12" s="8">
        <v>184.19</v>
      </c>
      <c r="AF12" s="8">
        <v>465.64</v>
      </c>
      <c r="AG12" s="8">
        <v>120.25</v>
      </c>
      <c r="AH12" s="8">
        <v>389.08</v>
      </c>
      <c r="AI12" s="8">
        <v>471.26</v>
      </c>
      <c r="AJ12" s="8">
        <v>145.94</v>
      </c>
      <c r="AK12" s="8">
        <v>455.09</v>
      </c>
      <c r="AL12" s="8">
        <v>138.57</v>
      </c>
      <c r="AM12" s="8">
        <v>60.405000000000001</v>
      </c>
      <c r="AN12" s="3">
        <v>404</v>
      </c>
      <c r="AO12" s="2">
        <v>66.540000000000006</v>
      </c>
      <c r="AP12" s="2">
        <v>700.83799999999997</v>
      </c>
      <c r="AQ12" s="2">
        <v>365.77199999999999</v>
      </c>
      <c r="AS12" s="4"/>
    </row>
    <row r="13" spans="1:45" ht="15.75">
      <c r="A13" s="6" t="s">
        <v>14</v>
      </c>
      <c r="B13" s="7">
        <v>12</v>
      </c>
      <c r="C13" s="7">
        <v>32</v>
      </c>
      <c r="D13" s="7">
        <v>18.899999999999999</v>
      </c>
      <c r="E13" s="7">
        <v>82.4</v>
      </c>
      <c r="F13" s="7">
        <v>12.2</v>
      </c>
      <c r="G13" s="7">
        <v>374</v>
      </c>
      <c r="H13" s="7">
        <v>11</v>
      </c>
      <c r="I13" s="7">
        <v>148.80000000000001</v>
      </c>
      <c r="J13" s="7">
        <v>1.2</v>
      </c>
      <c r="K13" s="7">
        <v>86.9</v>
      </c>
      <c r="L13" s="7">
        <v>131.1</v>
      </c>
      <c r="M13" s="7">
        <v>188</v>
      </c>
      <c r="N13" s="7">
        <v>256</v>
      </c>
      <c r="O13" s="7">
        <v>191</v>
      </c>
      <c r="P13" s="7">
        <v>35</v>
      </c>
      <c r="Q13" s="7">
        <v>0.4</v>
      </c>
      <c r="R13" s="7">
        <v>305.3</v>
      </c>
      <c r="S13" s="8">
        <v>7.01</v>
      </c>
      <c r="T13" s="8">
        <v>36.1</v>
      </c>
      <c r="U13" s="8">
        <v>80</v>
      </c>
      <c r="V13" s="8">
        <v>86.25</v>
      </c>
      <c r="W13" s="8">
        <v>1.3819999999999999</v>
      </c>
      <c r="X13" s="8">
        <v>0.36</v>
      </c>
      <c r="Y13" s="8">
        <v>141.29</v>
      </c>
      <c r="Z13" s="8">
        <v>224.1</v>
      </c>
      <c r="AA13" s="8">
        <v>277.89999999999998</v>
      </c>
      <c r="AB13" s="8">
        <v>54.9</v>
      </c>
      <c r="AC13" s="8">
        <f t="shared" ref="AC13:AC25" si="1">SUM(X13:AB13)</f>
        <v>698.55</v>
      </c>
      <c r="AD13" s="8">
        <v>253.23</v>
      </c>
      <c r="AE13" s="8">
        <v>73.05</v>
      </c>
      <c r="AF13" s="8">
        <v>233.38</v>
      </c>
      <c r="AG13" s="8">
        <v>12.84</v>
      </c>
      <c r="AH13" s="8">
        <v>137.1</v>
      </c>
      <c r="AI13" s="8">
        <v>247.99</v>
      </c>
      <c r="AJ13" s="8">
        <v>3.98</v>
      </c>
      <c r="AK13" s="8">
        <v>186.77</v>
      </c>
      <c r="AL13" s="11">
        <v>18.52</v>
      </c>
      <c r="AM13" s="11">
        <v>2.9</v>
      </c>
      <c r="AN13" s="3">
        <v>224</v>
      </c>
      <c r="AO13" s="2">
        <v>30.67</v>
      </c>
      <c r="AP13" s="2">
        <v>172.71</v>
      </c>
      <c r="AQ13" s="2">
        <v>83.28</v>
      </c>
      <c r="AS13" s="4"/>
    </row>
    <row r="14" spans="1:45" ht="15.75">
      <c r="A14" s="12" t="s">
        <v>15</v>
      </c>
      <c r="B14" s="7">
        <v>3.5</v>
      </c>
      <c r="C14" s="7">
        <v>22.5</v>
      </c>
      <c r="D14" s="7">
        <v>18.5</v>
      </c>
      <c r="E14" s="7">
        <v>38.700000000000003</v>
      </c>
      <c r="F14" s="7">
        <v>21.1</v>
      </c>
      <c r="G14" s="7">
        <v>91.5</v>
      </c>
      <c r="H14" s="7">
        <v>7.8</v>
      </c>
      <c r="I14" s="7">
        <v>23.7</v>
      </c>
      <c r="J14" s="7"/>
      <c r="K14" s="7">
        <v>43.5</v>
      </c>
      <c r="L14" s="7">
        <v>38.299999999999997</v>
      </c>
      <c r="M14" s="7">
        <v>54</v>
      </c>
      <c r="N14" s="7">
        <v>53</v>
      </c>
      <c r="O14" s="7">
        <v>41</v>
      </c>
      <c r="P14" s="13">
        <v>15</v>
      </c>
      <c r="Q14" s="7">
        <v>7.2</v>
      </c>
      <c r="R14" s="7">
        <v>63.7</v>
      </c>
      <c r="S14" s="8" t="s">
        <v>16</v>
      </c>
      <c r="T14" s="8">
        <v>12.1</v>
      </c>
      <c r="U14" s="8">
        <v>9.23</v>
      </c>
      <c r="V14" s="8">
        <v>14.58</v>
      </c>
      <c r="W14" s="8" t="s">
        <v>3</v>
      </c>
      <c r="X14" s="8">
        <v>2.08</v>
      </c>
      <c r="Y14" s="8">
        <v>9.86</v>
      </c>
      <c r="Z14" s="8">
        <v>20.7</v>
      </c>
      <c r="AA14" s="8">
        <v>27.05</v>
      </c>
      <c r="AB14" s="8">
        <v>35.53</v>
      </c>
      <c r="AC14" s="8">
        <f t="shared" si="1"/>
        <v>95.22</v>
      </c>
      <c r="AD14" s="8">
        <v>36.159999999999997</v>
      </c>
      <c r="AE14" s="8">
        <v>15.34</v>
      </c>
      <c r="AF14" s="8">
        <v>28.6</v>
      </c>
      <c r="AG14" s="8">
        <v>9.4600000000000009</v>
      </c>
      <c r="AH14" s="8">
        <v>13.26</v>
      </c>
      <c r="AI14" s="8">
        <v>26.74</v>
      </c>
      <c r="AJ14" s="8"/>
      <c r="AK14" s="8">
        <v>18.86</v>
      </c>
      <c r="AL14" s="11">
        <v>7.05</v>
      </c>
      <c r="AM14" s="11"/>
      <c r="AN14" s="3">
        <v>13.3</v>
      </c>
      <c r="AO14" s="2">
        <v>0</v>
      </c>
      <c r="AP14" s="2">
        <v>23.516999999999999</v>
      </c>
      <c r="AQ14" s="2">
        <v>11.173999999999999</v>
      </c>
      <c r="AS14" s="4"/>
    </row>
    <row r="15" spans="1:45" ht="15.75">
      <c r="A15" s="6" t="s">
        <v>17</v>
      </c>
      <c r="B15" s="7">
        <v>15.3</v>
      </c>
      <c r="C15" s="7">
        <v>90.5</v>
      </c>
      <c r="D15" s="7">
        <v>52</v>
      </c>
      <c r="E15" s="7">
        <v>179.8</v>
      </c>
      <c r="F15" s="7">
        <v>68.8</v>
      </c>
      <c r="G15" s="7">
        <v>402.3</v>
      </c>
      <c r="H15" s="7">
        <v>45.3</v>
      </c>
      <c r="I15" s="7">
        <v>154.19999999999999</v>
      </c>
      <c r="J15" s="7">
        <v>3.7</v>
      </c>
      <c r="K15" s="7">
        <v>282</v>
      </c>
      <c r="L15" s="7">
        <v>408.5</v>
      </c>
      <c r="M15" s="7">
        <v>413</v>
      </c>
      <c r="N15" s="7">
        <v>229</v>
      </c>
      <c r="O15" s="7">
        <v>254</v>
      </c>
      <c r="P15" s="7">
        <v>209</v>
      </c>
      <c r="Q15" s="13">
        <v>16.05</v>
      </c>
      <c r="R15" s="7">
        <v>550.5</v>
      </c>
      <c r="S15" s="8">
        <v>19.3</v>
      </c>
      <c r="T15" s="8">
        <v>96.5</v>
      </c>
      <c r="U15" s="8">
        <v>35.4</v>
      </c>
      <c r="V15" s="8">
        <v>157.4</v>
      </c>
      <c r="W15" s="8">
        <v>0.56999999999999995</v>
      </c>
      <c r="X15" s="8">
        <v>30.05</v>
      </c>
      <c r="Y15" s="8">
        <v>234.25</v>
      </c>
      <c r="Z15" s="8">
        <v>270</v>
      </c>
      <c r="AA15" s="8">
        <v>262.10000000000002</v>
      </c>
      <c r="AB15" s="8">
        <v>109.6</v>
      </c>
      <c r="AC15" s="8">
        <f t="shared" si="1"/>
        <v>906</v>
      </c>
      <c r="AD15" s="8">
        <v>210.16</v>
      </c>
      <c r="AE15" s="8">
        <v>127.1</v>
      </c>
      <c r="AF15" s="8">
        <v>321.88</v>
      </c>
      <c r="AG15" s="8">
        <v>26.51</v>
      </c>
      <c r="AH15" s="8">
        <v>154.41</v>
      </c>
      <c r="AI15" s="8">
        <v>356.1</v>
      </c>
      <c r="AJ15" s="8"/>
      <c r="AK15" s="8">
        <v>484.29</v>
      </c>
      <c r="AL15" s="11">
        <v>76.73</v>
      </c>
      <c r="AM15" s="11">
        <v>1.54</v>
      </c>
      <c r="AN15" s="3">
        <v>310</v>
      </c>
      <c r="AO15" s="2">
        <v>6.75</v>
      </c>
      <c r="AP15" s="2">
        <v>160.9</v>
      </c>
      <c r="AQ15" s="2">
        <v>86</v>
      </c>
      <c r="AS15" s="4"/>
    </row>
    <row r="16" spans="1:45" ht="15.75">
      <c r="A16" s="6" t="s">
        <v>18</v>
      </c>
      <c r="B16" s="7">
        <v>28.1</v>
      </c>
      <c r="C16" s="7">
        <v>92.8</v>
      </c>
      <c r="D16" s="7">
        <v>40</v>
      </c>
      <c r="E16" s="7">
        <v>177.6</v>
      </c>
      <c r="F16" s="7">
        <v>109.9</v>
      </c>
      <c r="G16" s="7">
        <v>297</v>
      </c>
      <c r="H16" s="7">
        <v>10.7</v>
      </c>
      <c r="I16" s="7">
        <v>93.8</v>
      </c>
      <c r="J16" s="7">
        <v>3.1</v>
      </c>
      <c r="K16" s="7">
        <v>110.4</v>
      </c>
      <c r="L16" s="7">
        <v>176.2</v>
      </c>
      <c r="M16" s="7">
        <v>170</v>
      </c>
      <c r="N16" s="7">
        <v>89</v>
      </c>
      <c r="O16" s="7">
        <v>101</v>
      </c>
      <c r="P16" s="7">
        <v>90</v>
      </c>
      <c r="Q16" s="7">
        <v>3</v>
      </c>
      <c r="R16" s="7">
        <v>539.20000000000005</v>
      </c>
      <c r="S16" s="8" t="s">
        <v>3</v>
      </c>
      <c r="T16" s="8">
        <v>22.05</v>
      </c>
      <c r="U16" s="8">
        <v>68.849999999999994</v>
      </c>
      <c r="V16" s="8">
        <v>53</v>
      </c>
      <c r="W16" s="8">
        <v>1.3</v>
      </c>
      <c r="X16" s="8">
        <v>8.26</v>
      </c>
      <c r="Y16" s="8">
        <v>97.27</v>
      </c>
      <c r="Z16" s="8">
        <v>50.19</v>
      </c>
      <c r="AA16" s="8">
        <v>22.8</v>
      </c>
      <c r="AB16" s="8">
        <v>108.96</v>
      </c>
      <c r="AC16" s="8">
        <f t="shared" si="1"/>
        <v>287.48</v>
      </c>
      <c r="AD16" s="8">
        <v>86.63</v>
      </c>
      <c r="AE16" s="8">
        <v>11.25</v>
      </c>
      <c r="AF16" s="8">
        <v>53.55</v>
      </c>
      <c r="AG16" s="8">
        <v>3.97</v>
      </c>
      <c r="AH16" s="8">
        <v>60.47</v>
      </c>
      <c r="AI16" s="8">
        <v>29.2</v>
      </c>
      <c r="AJ16" s="8">
        <v>1.42</v>
      </c>
      <c r="AK16" s="8">
        <v>33.01</v>
      </c>
      <c r="AL16" s="9">
        <v>2.27</v>
      </c>
      <c r="AM16" s="9"/>
      <c r="AN16" s="3">
        <v>15.6</v>
      </c>
      <c r="AO16" s="2">
        <v>1.5069999999999999</v>
      </c>
      <c r="AP16" s="2">
        <v>11.05</v>
      </c>
      <c r="AQ16" s="2">
        <v>7.5</v>
      </c>
      <c r="AS16" s="4"/>
    </row>
    <row r="17" spans="1:45" ht="15.75">
      <c r="A17" s="6" t="s">
        <v>19</v>
      </c>
      <c r="B17" s="7">
        <v>224.1</v>
      </c>
      <c r="C17" s="7">
        <v>127.1</v>
      </c>
      <c r="D17" s="7">
        <v>273.60000000000002</v>
      </c>
      <c r="E17" s="7">
        <v>359.6</v>
      </c>
      <c r="F17" s="7">
        <v>263.60000000000002</v>
      </c>
      <c r="G17" s="7">
        <v>891.4</v>
      </c>
      <c r="H17" s="7">
        <v>49.2</v>
      </c>
      <c r="I17" s="7">
        <v>443.6</v>
      </c>
      <c r="J17" s="7">
        <v>51</v>
      </c>
      <c r="K17" s="7">
        <v>194.5</v>
      </c>
      <c r="L17" s="7">
        <v>1204.5</v>
      </c>
      <c r="M17" s="7">
        <v>1002</v>
      </c>
      <c r="N17" s="7">
        <v>670</v>
      </c>
      <c r="O17" s="7">
        <v>615</v>
      </c>
      <c r="P17" s="7">
        <v>93</v>
      </c>
      <c r="Q17" s="7">
        <v>92.65</v>
      </c>
      <c r="R17" s="7">
        <v>1214.5999999999999</v>
      </c>
      <c r="S17" s="8">
        <v>121.12</v>
      </c>
      <c r="T17" s="8">
        <v>144.81</v>
      </c>
      <c r="U17" s="8">
        <v>399.51</v>
      </c>
      <c r="V17" s="8">
        <v>352.74</v>
      </c>
      <c r="W17" s="8">
        <v>152</v>
      </c>
      <c r="X17" s="8">
        <v>165</v>
      </c>
      <c r="Y17" s="8">
        <v>1103.23</v>
      </c>
      <c r="Z17" s="8">
        <v>866.5</v>
      </c>
      <c r="AA17" s="8">
        <v>619.24</v>
      </c>
      <c r="AB17" s="8">
        <v>306.81</v>
      </c>
      <c r="AC17" s="8">
        <f t="shared" si="1"/>
        <v>3060.78</v>
      </c>
      <c r="AD17" s="8">
        <v>717.4</v>
      </c>
      <c r="AE17" s="8">
        <v>188.23</v>
      </c>
      <c r="AF17" s="8">
        <v>880.41</v>
      </c>
      <c r="AG17" s="8">
        <v>343.09</v>
      </c>
      <c r="AH17" s="8">
        <v>838.84</v>
      </c>
      <c r="AI17" s="8">
        <v>1209</v>
      </c>
      <c r="AJ17" s="8">
        <v>287.60000000000002</v>
      </c>
      <c r="AK17" s="8">
        <v>1091.01</v>
      </c>
      <c r="AL17" s="11">
        <v>368.75</v>
      </c>
      <c r="AM17" s="11">
        <v>328.88</v>
      </c>
      <c r="AN17" s="3">
        <v>569</v>
      </c>
      <c r="AO17" s="2">
        <v>279.77</v>
      </c>
      <c r="AP17" s="2">
        <v>436.54500000000002</v>
      </c>
      <c r="AQ17" s="2">
        <v>375.35</v>
      </c>
      <c r="AS17" s="4"/>
    </row>
    <row r="18" spans="1:45" ht="15.75">
      <c r="A18" s="6" t="s">
        <v>20</v>
      </c>
      <c r="B18" s="7">
        <v>434.5</v>
      </c>
      <c r="C18" s="7">
        <v>179.1</v>
      </c>
      <c r="D18" s="7">
        <v>196</v>
      </c>
      <c r="E18" s="7">
        <v>36.6</v>
      </c>
      <c r="F18" s="7">
        <v>227.2</v>
      </c>
      <c r="G18" s="7">
        <v>646</v>
      </c>
      <c r="H18" s="7">
        <v>28.3</v>
      </c>
      <c r="I18" s="7">
        <v>435.7</v>
      </c>
      <c r="J18" s="7">
        <v>9.4</v>
      </c>
      <c r="K18" s="7">
        <v>36.6</v>
      </c>
      <c r="L18" s="7">
        <v>384</v>
      </c>
      <c r="M18" s="13">
        <v>753</v>
      </c>
      <c r="N18" s="7">
        <v>410</v>
      </c>
      <c r="O18" s="7">
        <v>400</v>
      </c>
      <c r="P18" s="13">
        <v>25</v>
      </c>
      <c r="Q18" s="13">
        <v>7.45</v>
      </c>
      <c r="R18" s="7">
        <v>640.5</v>
      </c>
      <c r="S18" s="8">
        <v>21.33</v>
      </c>
      <c r="T18" s="8">
        <v>338.7</v>
      </c>
      <c r="U18" s="8">
        <v>273.5</v>
      </c>
      <c r="V18" s="8">
        <v>108.3</v>
      </c>
      <c r="W18" s="8">
        <v>38.799999999999997</v>
      </c>
      <c r="X18" s="8">
        <v>28.24</v>
      </c>
      <c r="Y18" s="8">
        <v>896</v>
      </c>
      <c r="Z18" s="8">
        <v>627.38</v>
      </c>
      <c r="AA18" s="8">
        <v>305.89999999999998</v>
      </c>
      <c r="AB18" s="8">
        <v>262.17</v>
      </c>
      <c r="AC18" s="8">
        <f t="shared" si="1"/>
        <v>2119.69</v>
      </c>
      <c r="AD18" s="8">
        <v>285.97000000000003</v>
      </c>
      <c r="AE18" s="8">
        <v>44.77</v>
      </c>
      <c r="AF18" s="8">
        <v>1305.58</v>
      </c>
      <c r="AG18" s="8">
        <v>154.69999999999999</v>
      </c>
      <c r="AH18" s="8">
        <v>870</v>
      </c>
      <c r="AI18" s="8">
        <v>467.49</v>
      </c>
      <c r="AJ18" s="8">
        <v>68.400000000000006</v>
      </c>
      <c r="AK18" s="9">
        <v>740.34</v>
      </c>
      <c r="AL18" s="11">
        <v>197.59</v>
      </c>
      <c r="AM18" s="11">
        <v>167.6</v>
      </c>
      <c r="AN18" s="3">
        <v>731</v>
      </c>
      <c r="AO18" s="2">
        <v>184.13</v>
      </c>
      <c r="AP18" s="2">
        <v>1358.5</v>
      </c>
      <c r="AQ18" s="2">
        <v>309.14999999999998</v>
      </c>
      <c r="AS18" s="4"/>
    </row>
    <row r="19" spans="1:45" ht="15.75">
      <c r="A19" s="6" t="s">
        <v>21</v>
      </c>
      <c r="B19" s="7">
        <v>47.5</v>
      </c>
      <c r="C19" s="7">
        <v>35.9</v>
      </c>
      <c r="D19" s="7">
        <v>3.2</v>
      </c>
      <c r="E19" s="7">
        <v>70.7</v>
      </c>
      <c r="F19" s="7">
        <v>60.8</v>
      </c>
      <c r="G19" s="7">
        <v>319</v>
      </c>
      <c r="H19" s="7">
        <v>12.7</v>
      </c>
      <c r="I19" s="7">
        <v>153.9</v>
      </c>
      <c r="J19" s="7">
        <v>19.2</v>
      </c>
      <c r="K19" s="7">
        <v>88</v>
      </c>
      <c r="L19" s="7">
        <v>198.9</v>
      </c>
      <c r="M19" s="7">
        <v>272</v>
      </c>
      <c r="N19" s="7">
        <v>208</v>
      </c>
      <c r="O19" s="7">
        <v>365</v>
      </c>
      <c r="P19" s="7">
        <v>79</v>
      </c>
      <c r="Q19" s="7">
        <v>48</v>
      </c>
      <c r="R19" s="7">
        <v>593.6</v>
      </c>
      <c r="S19" s="8">
        <v>36.909999999999997</v>
      </c>
      <c r="T19" s="8">
        <v>42.42</v>
      </c>
      <c r="U19" s="8">
        <v>157.06</v>
      </c>
      <c r="V19" s="8">
        <v>116.82</v>
      </c>
      <c r="W19" s="8">
        <v>99.5</v>
      </c>
      <c r="X19" s="8">
        <v>113</v>
      </c>
      <c r="Y19" s="8">
        <v>505.94</v>
      </c>
      <c r="Z19" s="8">
        <v>283.2</v>
      </c>
      <c r="AA19" s="8">
        <v>194.25</v>
      </c>
      <c r="AB19" s="8">
        <v>149.88</v>
      </c>
      <c r="AC19" s="8">
        <f t="shared" si="1"/>
        <v>1246.27</v>
      </c>
      <c r="AD19" s="8">
        <v>88.76</v>
      </c>
      <c r="AE19" s="8">
        <v>49.5</v>
      </c>
      <c r="AF19" s="8">
        <v>241.62</v>
      </c>
      <c r="AG19" s="8">
        <v>127.37</v>
      </c>
      <c r="AH19" s="8">
        <v>232</v>
      </c>
      <c r="AI19" s="9">
        <v>137.61000000000001</v>
      </c>
      <c r="AJ19" s="8">
        <v>79.900000000000006</v>
      </c>
      <c r="AK19" s="8">
        <v>160.12</v>
      </c>
      <c r="AL19" s="11">
        <v>93.41</v>
      </c>
      <c r="AM19" s="11">
        <v>88.42</v>
      </c>
      <c r="AN19" s="3">
        <v>87</v>
      </c>
      <c r="AO19" s="2">
        <v>62</v>
      </c>
      <c r="AP19" s="2">
        <v>64.808999999999997</v>
      </c>
      <c r="AQ19" s="2">
        <v>46.6</v>
      </c>
      <c r="AS19" s="4"/>
    </row>
    <row r="20" spans="1:45" ht="15.75">
      <c r="A20" s="6" t="s">
        <v>22</v>
      </c>
      <c r="B20" s="7">
        <v>9.9</v>
      </c>
      <c r="C20" s="7">
        <v>8.4</v>
      </c>
      <c r="D20" s="7">
        <v>7.7</v>
      </c>
      <c r="E20" s="7">
        <v>2</v>
      </c>
      <c r="F20" s="7">
        <v>3.7</v>
      </c>
      <c r="G20" s="7">
        <v>88.2</v>
      </c>
      <c r="H20" s="7">
        <v>3</v>
      </c>
      <c r="I20" s="7">
        <v>54</v>
      </c>
      <c r="J20" s="7"/>
      <c r="K20" s="7">
        <v>2.4</v>
      </c>
      <c r="L20" s="7">
        <v>52.5</v>
      </c>
      <c r="M20" s="7">
        <v>83</v>
      </c>
      <c r="N20" s="7">
        <v>7</v>
      </c>
      <c r="O20" s="7">
        <v>35</v>
      </c>
      <c r="P20" s="13" t="s">
        <v>23</v>
      </c>
      <c r="Q20" s="13">
        <v>3.25</v>
      </c>
      <c r="R20" s="7">
        <v>69.900000000000006</v>
      </c>
      <c r="S20" s="8" t="s">
        <v>16</v>
      </c>
      <c r="T20" s="8">
        <v>4.05</v>
      </c>
      <c r="U20" s="8">
        <v>7.22</v>
      </c>
      <c r="V20" s="8">
        <v>1.58</v>
      </c>
      <c r="W20" s="8">
        <v>3.4620000000000002</v>
      </c>
      <c r="X20" s="8">
        <v>0.82</v>
      </c>
      <c r="Y20" s="14">
        <v>15.45</v>
      </c>
      <c r="Z20" s="8">
        <v>25.7</v>
      </c>
      <c r="AA20" s="8">
        <v>4.53</v>
      </c>
      <c r="AB20" s="8">
        <v>6.76</v>
      </c>
      <c r="AC20" s="8">
        <f t="shared" si="1"/>
        <v>53.26</v>
      </c>
      <c r="AD20" s="8">
        <v>15.12</v>
      </c>
      <c r="AE20" s="8">
        <v>10.119999999999999</v>
      </c>
      <c r="AF20" s="8">
        <v>61.62</v>
      </c>
      <c r="AG20" s="8">
        <v>20.18</v>
      </c>
      <c r="AH20" s="8">
        <v>50.95</v>
      </c>
      <c r="AI20" s="8">
        <v>14.48</v>
      </c>
      <c r="AJ20" s="8">
        <v>8.5</v>
      </c>
      <c r="AK20" s="8">
        <v>16</v>
      </c>
      <c r="AL20" s="11">
        <v>21.5</v>
      </c>
      <c r="AM20" s="11">
        <v>5.95</v>
      </c>
      <c r="AN20" s="3">
        <v>62</v>
      </c>
      <c r="AO20" s="2">
        <v>22.42</v>
      </c>
      <c r="AP20" s="2">
        <v>0</v>
      </c>
      <c r="AQ20" s="2">
        <v>6</v>
      </c>
      <c r="AS20" s="4"/>
    </row>
    <row r="21" spans="1:45" ht="15.75">
      <c r="A21" s="6" t="s">
        <v>24</v>
      </c>
      <c r="B21" s="7">
        <v>13.6</v>
      </c>
      <c r="C21" s="7">
        <v>130</v>
      </c>
      <c r="D21" s="7">
        <v>1.7</v>
      </c>
      <c r="E21" s="7">
        <v>110.3</v>
      </c>
      <c r="F21" s="7">
        <v>2.4</v>
      </c>
      <c r="G21" s="7">
        <v>154.80000000000001</v>
      </c>
      <c r="H21" s="7"/>
      <c r="I21" s="7">
        <v>49</v>
      </c>
      <c r="J21" s="7">
        <v>17.2</v>
      </c>
      <c r="K21" s="7">
        <v>50</v>
      </c>
      <c r="L21" s="7">
        <v>42.3</v>
      </c>
      <c r="M21" s="7">
        <v>69</v>
      </c>
      <c r="N21" s="7">
        <v>10</v>
      </c>
      <c r="O21" s="7">
        <v>35</v>
      </c>
      <c r="P21" s="7">
        <v>24</v>
      </c>
      <c r="Q21" s="7">
        <v>50</v>
      </c>
      <c r="R21" s="7">
        <v>259.3</v>
      </c>
      <c r="S21" s="8">
        <v>1.9</v>
      </c>
      <c r="T21" s="8">
        <v>0.85</v>
      </c>
      <c r="U21" s="8">
        <v>85.6</v>
      </c>
      <c r="V21" s="8">
        <v>1</v>
      </c>
      <c r="W21" s="8" t="s">
        <v>3</v>
      </c>
      <c r="X21" s="8" t="s">
        <v>3</v>
      </c>
      <c r="Y21" s="8">
        <v>26.44</v>
      </c>
      <c r="Z21" s="8">
        <v>79.2</v>
      </c>
      <c r="AA21" s="8">
        <v>1.4</v>
      </c>
      <c r="AB21" s="8">
        <v>160.6</v>
      </c>
      <c r="AC21" s="8">
        <f t="shared" si="1"/>
        <v>267.64</v>
      </c>
      <c r="AD21" s="8">
        <v>70.8</v>
      </c>
      <c r="AE21" s="8">
        <v>25.53</v>
      </c>
      <c r="AF21" s="8">
        <v>45.74</v>
      </c>
      <c r="AG21" s="8">
        <v>9.84</v>
      </c>
      <c r="AH21" s="8">
        <v>29.37</v>
      </c>
      <c r="AI21" s="8">
        <v>27.02</v>
      </c>
      <c r="AJ21" s="8">
        <v>13</v>
      </c>
      <c r="AK21" s="9">
        <v>12.78</v>
      </c>
      <c r="AL21" s="11">
        <v>9.6</v>
      </c>
      <c r="AM21" s="11">
        <v>6.7</v>
      </c>
      <c r="AN21" s="3">
        <v>48</v>
      </c>
      <c r="AO21" s="2">
        <v>56.8</v>
      </c>
      <c r="AP21" s="2">
        <v>18.835999999999999</v>
      </c>
      <c r="AQ21" s="2">
        <v>28.39</v>
      </c>
      <c r="AS21" s="4"/>
    </row>
    <row r="22" spans="1:45" ht="15.75">
      <c r="A22" s="6" t="s">
        <v>25</v>
      </c>
      <c r="B22" s="7">
        <v>24.2</v>
      </c>
      <c r="C22" s="10">
        <v>119</v>
      </c>
      <c r="D22" s="10">
        <v>0</v>
      </c>
      <c r="E22" s="10">
        <v>70.7</v>
      </c>
      <c r="F22" s="7">
        <v>31.7</v>
      </c>
      <c r="G22" s="10">
        <v>179.4</v>
      </c>
      <c r="H22" s="10">
        <v>8.3000000000000007</v>
      </c>
      <c r="I22" s="10">
        <v>103.5</v>
      </c>
      <c r="J22" s="10">
        <v>91</v>
      </c>
      <c r="K22" s="10">
        <v>96</v>
      </c>
      <c r="L22" s="10">
        <v>36</v>
      </c>
      <c r="M22" s="10">
        <v>132</v>
      </c>
      <c r="N22" s="10">
        <v>9</v>
      </c>
      <c r="O22" s="10">
        <v>45</v>
      </c>
      <c r="P22" s="10">
        <v>184</v>
      </c>
      <c r="Q22" s="10">
        <v>77</v>
      </c>
      <c r="R22" s="10">
        <v>420.1</v>
      </c>
      <c r="S22" s="15">
        <v>0.84</v>
      </c>
      <c r="T22" s="15">
        <v>104.09</v>
      </c>
      <c r="U22" s="15">
        <v>232.82</v>
      </c>
      <c r="V22" s="15">
        <v>68.09</v>
      </c>
      <c r="W22" s="15">
        <v>0.1</v>
      </c>
      <c r="X22" s="15">
        <v>18.5</v>
      </c>
      <c r="Y22" s="15">
        <v>112.5</v>
      </c>
      <c r="Z22" s="15">
        <v>197.58</v>
      </c>
      <c r="AA22" s="15">
        <v>3.75</v>
      </c>
      <c r="AB22" s="15">
        <v>137.30000000000001</v>
      </c>
      <c r="AC22" s="8">
        <f t="shared" si="1"/>
        <v>469.63000000000005</v>
      </c>
      <c r="AD22" s="15">
        <v>148</v>
      </c>
      <c r="AE22" s="15">
        <v>166.14</v>
      </c>
      <c r="AF22" s="15">
        <v>74.02</v>
      </c>
      <c r="AG22" s="15">
        <v>6.21</v>
      </c>
      <c r="AH22" s="15">
        <v>109.21</v>
      </c>
      <c r="AI22" s="15">
        <v>211.21</v>
      </c>
      <c r="AJ22" s="15"/>
      <c r="AK22" s="15">
        <v>57.75</v>
      </c>
      <c r="AL22" s="16">
        <v>42.08</v>
      </c>
      <c r="AM22" s="16">
        <v>19.66</v>
      </c>
      <c r="AN22" s="3">
        <v>10.4</v>
      </c>
      <c r="AO22" s="2">
        <v>171.54</v>
      </c>
      <c r="AP22" s="2">
        <v>70</v>
      </c>
      <c r="AQ22" s="2">
        <v>86.75</v>
      </c>
      <c r="AS22" s="4"/>
    </row>
    <row r="23" spans="1:45" ht="15.75">
      <c r="A23" s="6" t="s">
        <v>26</v>
      </c>
      <c r="B23" s="10"/>
      <c r="C23" s="10"/>
      <c r="D23" s="10"/>
      <c r="E23" s="10"/>
      <c r="F23" s="10"/>
      <c r="G23" s="10">
        <v>3.1</v>
      </c>
      <c r="H23" s="10"/>
      <c r="I23" s="10"/>
      <c r="J23" s="10"/>
      <c r="K23" s="10"/>
      <c r="L23" s="10"/>
      <c r="M23" s="10">
        <v>2</v>
      </c>
      <c r="N23" s="10">
        <v>1</v>
      </c>
      <c r="O23" s="10"/>
      <c r="P23" s="10"/>
      <c r="Q23" s="10"/>
      <c r="R23" s="10">
        <v>2.2999999999999998</v>
      </c>
      <c r="S23" s="15"/>
      <c r="T23" s="15"/>
      <c r="U23" s="17">
        <v>0.64</v>
      </c>
      <c r="V23" s="15"/>
      <c r="W23" s="15"/>
      <c r="X23" s="15"/>
      <c r="Y23" s="8">
        <v>2.8</v>
      </c>
      <c r="Z23" s="15">
        <v>2.5</v>
      </c>
      <c r="AA23" s="15">
        <v>0.15</v>
      </c>
      <c r="AB23" s="15"/>
      <c r="AC23" s="8">
        <f t="shared" si="1"/>
        <v>5.45</v>
      </c>
      <c r="AD23" s="15"/>
      <c r="AE23" s="15"/>
      <c r="AF23" s="15">
        <v>0.1</v>
      </c>
      <c r="AG23" s="15"/>
      <c r="AH23" s="15"/>
      <c r="AI23" s="15"/>
      <c r="AJ23" s="15"/>
      <c r="AK23" s="15"/>
      <c r="AL23" s="16"/>
      <c r="AM23" s="16"/>
      <c r="AN23" s="3">
        <v>0</v>
      </c>
      <c r="AO23" s="2">
        <v>0</v>
      </c>
      <c r="AP23" s="2">
        <v>0</v>
      </c>
      <c r="AQ23" s="2">
        <v>0</v>
      </c>
      <c r="AS23" s="4"/>
    </row>
    <row r="24" spans="1:45" ht="15.75">
      <c r="A24" s="6" t="s">
        <v>27</v>
      </c>
      <c r="B24" s="10"/>
      <c r="C24" s="10"/>
      <c r="D24" s="10"/>
      <c r="E24" s="10">
        <v>3.6</v>
      </c>
      <c r="F24" s="10"/>
      <c r="G24" s="10"/>
      <c r="H24" s="10"/>
      <c r="I24" s="10"/>
      <c r="J24" s="10"/>
      <c r="K24" s="10"/>
      <c r="L24" s="10"/>
      <c r="M24" s="10" t="s">
        <v>3</v>
      </c>
      <c r="N24" s="10" t="s">
        <v>3</v>
      </c>
      <c r="O24" s="10"/>
      <c r="P24" s="10"/>
      <c r="Q24" s="10">
        <v>1.5</v>
      </c>
      <c r="R24" s="10">
        <v>73.5</v>
      </c>
      <c r="S24" s="15"/>
      <c r="T24" s="15"/>
      <c r="U24" s="15">
        <v>33.6</v>
      </c>
      <c r="V24" s="15"/>
      <c r="W24" s="15"/>
      <c r="X24" s="15"/>
      <c r="Y24" s="15">
        <v>8.4</v>
      </c>
      <c r="Z24" s="15">
        <v>144</v>
      </c>
      <c r="AA24" s="15"/>
      <c r="AB24" s="15">
        <v>34.799999999999997</v>
      </c>
      <c r="AC24" s="8">
        <f t="shared" si="1"/>
        <v>187.2</v>
      </c>
      <c r="AD24" s="15" t="s">
        <v>16</v>
      </c>
      <c r="AE24" s="15"/>
      <c r="AF24" s="15"/>
      <c r="AG24" s="15" t="s">
        <v>3</v>
      </c>
      <c r="AH24" s="15">
        <v>48</v>
      </c>
      <c r="AI24" s="15">
        <v>6</v>
      </c>
      <c r="AJ24" s="15"/>
      <c r="AK24" s="15"/>
      <c r="AL24" s="16"/>
      <c r="AM24" s="16"/>
      <c r="AN24" s="3">
        <v>11.5</v>
      </c>
      <c r="AO24" s="2">
        <v>11.55</v>
      </c>
      <c r="AP24" s="2">
        <v>49.5</v>
      </c>
      <c r="AQ24" s="2">
        <v>69</v>
      </c>
      <c r="AS24" s="4"/>
    </row>
    <row r="25" spans="1:45" ht="15.75">
      <c r="A25" s="6" t="s">
        <v>28</v>
      </c>
      <c r="B25" s="10"/>
      <c r="C25" s="10"/>
      <c r="D25" s="10"/>
      <c r="E25" s="10">
        <v>72.5</v>
      </c>
      <c r="F25" s="7">
        <v>28.9</v>
      </c>
      <c r="G25" s="10">
        <v>201</v>
      </c>
      <c r="H25" s="10"/>
      <c r="I25" s="10"/>
      <c r="J25" s="10">
        <v>102</v>
      </c>
      <c r="K25" s="10">
        <v>140</v>
      </c>
      <c r="L25" s="10">
        <v>33</v>
      </c>
      <c r="M25" s="10">
        <v>14</v>
      </c>
      <c r="N25" s="10">
        <v>17</v>
      </c>
      <c r="O25" s="10">
        <v>5</v>
      </c>
      <c r="P25" s="10">
        <v>42</v>
      </c>
      <c r="Q25" s="10">
        <v>9.5500000000000007</v>
      </c>
      <c r="R25" s="10">
        <v>503.8</v>
      </c>
      <c r="S25" s="15" t="s">
        <v>16</v>
      </c>
      <c r="T25" s="15">
        <v>1.04</v>
      </c>
      <c r="U25" s="15">
        <v>109.03</v>
      </c>
      <c r="V25" s="15">
        <v>4.88</v>
      </c>
      <c r="W25" s="15">
        <v>13.542</v>
      </c>
      <c r="X25" s="15">
        <v>1.2</v>
      </c>
      <c r="Y25" s="15">
        <v>186.25</v>
      </c>
      <c r="Z25" s="15">
        <v>72</v>
      </c>
      <c r="AA25" s="15">
        <v>0.9</v>
      </c>
      <c r="AB25" s="15">
        <v>46.02</v>
      </c>
      <c r="AC25" s="8">
        <f t="shared" si="1"/>
        <v>306.36999999999995</v>
      </c>
      <c r="AD25" s="15" t="s">
        <v>16</v>
      </c>
      <c r="AE25" s="15">
        <v>0.5</v>
      </c>
      <c r="AF25" s="15">
        <v>6.92</v>
      </c>
      <c r="AG25" s="15">
        <v>1.5</v>
      </c>
      <c r="AH25" s="15">
        <v>84.15</v>
      </c>
      <c r="AI25" s="15">
        <v>42.38</v>
      </c>
      <c r="AJ25" s="15"/>
      <c r="AK25" s="15">
        <v>6.9</v>
      </c>
      <c r="AL25" s="16">
        <v>27.38</v>
      </c>
      <c r="AM25" s="16">
        <v>1.45</v>
      </c>
      <c r="AN25" s="3">
        <v>1.7</v>
      </c>
      <c r="AO25" s="2">
        <v>30.65</v>
      </c>
      <c r="AP25" s="2">
        <v>3.3</v>
      </c>
      <c r="AQ25" s="2">
        <v>2.84</v>
      </c>
      <c r="AS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</dc:creator>
  <cp:lastModifiedBy>Ferjani</cp:lastModifiedBy>
  <dcterms:created xsi:type="dcterms:W3CDTF">2018-08-02T07:56:02Z</dcterms:created>
  <dcterms:modified xsi:type="dcterms:W3CDTF">2022-01-05T13:19:49Z</dcterms:modified>
</cp:coreProperties>
</file>