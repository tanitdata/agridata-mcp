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210"/>
  </bookViews>
  <sheets>
    <sheet name="Nappe profonde" sheetId="1" r:id="rId1"/>
  </sheets>
  <calcPr calcId="162913"/>
</workbook>
</file>

<file path=xl/calcChain.xml><?xml version="1.0" encoding="utf-8"?>
<calcChain xmlns="http://schemas.openxmlformats.org/spreadsheetml/2006/main">
  <c r="G11" i="1" l="1"/>
  <c r="F11" i="1"/>
  <c r="L3" i="1"/>
  <c r="L4" i="1"/>
  <c r="L5" i="1"/>
  <c r="L6" i="1"/>
  <c r="L7" i="1"/>
  <c r="L8" i="1"/>
  <c r="L9" i="1"/>
  <c r="L10" i="1"/>
  <c r="L2" i="1"/>
  <c r="L11" i="1" s="1"/>
  <c r="I11" i="1"/>
  <c r="E3" i="1"/>
  <c r="E4" i="1"/>
  <c r="E5" i="1"/>
  <c r="E6" i="1"/>
  <c r="E7" i="1"/>
  <c r="E8" i="1"/>
  <c r="E9" i="1"/>
  <c r="E10" i="1"/>
  <c r="E2" i="1"/>
  <c r="C11" i="1"/>
  <c r="E11" i="1" l="1"/>
  <c r="J11" i="1"/>
  <c r="D11" i="1" l="1"/>
  <c r="K11" i="1" l="1"/>
</calcChain>
</file>

<file path=xl/sharedStrings.xml><?xml version="1.0" encoding="utf-8"?>
<sst xmlns="http://schemas.openxmlformats.org/spreadsheetml/2006/main" count="22" uniqueCount="22">
  <si>
    <t xml:space="preserve">NOM </t>
  </si>
  <si>
    <t>GRES TRIAS DE TATAOUINE</t>
  </si>
  <si>
    <t>CALCAIRE JURASSIQUE</t>
  </si>
  <si>
    <t>CALCAIRE BATHONIEN</t>
  </si>
  <si>
    <t>MIO PLIO QUATER EL OUARA</t>
  </si>
  <si>
    <t>TRIAS DOLIMITI.TATAOUINE</t>
  </si>
  <si>
    <t>C I PIEDMONT ORIEN.DHAHER</t>
  </si>
  <si>
    <t>C I PIEDMONT OCCID.DHAHER</t>
  </si>
  <si>
    <t>C I ERG ORIENTAL</t>
  </si>
  <si>
    <t>C T BORJ EL KHADRA</t>
  </si>
  <si>
    <t xml:space="preserve"> </t>
  </si>
  <si>
    <t>Nombre forages pompes</t>
  </si>
  <si>
    <t>Nombre forages artesiens</t>
  </si>
  <si>
    <t>Nombre sources et émergences</t>
  </si>
  <si>
    <t>Total Mm3</t>
  </si>
  <si>
    <t>Total nbre</t>
  </si>
  <si>
    <t>Annee</t>
  </si>
  <si>
    <t>Total</t>
  </si>
  <si>
    <r>
      <t>Exploitation Mm</t>
    </r>
    <r>
      <rPr>
        <b/>
        <vertAlign val="superscript"/>
        <sz val="10"/>
        <rFont val="Times New Roman"/>
        <family val="1"/>
      </rPr>
      <t>3</t>
    </r>
  </si>
  <si>
    <r>
      <t>Ressources Mm</t>
    </r>
    <r>
      <rPr>
        <b/>
        <vertAlign val="superscript"/>
        <sz val="10"/>
        <rFont val="Times New Roman"/>
        <family val="1"/>
      </rPr>
      <t>3</t>
    </r>
  </si>
  <si>
    <r>
      <t>Ressources disponible Mm</t>
    </r>
    <r>
      <rPr>
        <b/>
        <vertAlign val="superscript"/>
        <sz val="10"/>
        <rFont val="Times New Roman"/>
        <family val="1"/>
      </rPr>
      <t>3</t>
    </r>
  </si>
  <si>
    <r>
      <t>N</t>
    </r>
    <r>
      <rPr>
        <b/>
        <vertAlign val="superscript"/>
        <sz val="10"/>
        <rFont val="Times New Roman"/>
        <family val="1"/>
      </rPr>
      <t>BRE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</si>
</sst>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0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sz val="11"/>
      <color rgb="FFC00000"/>
      <name val="Times New Roman"/>
      <family val="1"/>
    </font>
    <font>
      <b/>
      <sz val="10"/>
      <name val="Times New Roman"/>
      <family val="1"/>
    </font>
    <font>
      <b/>
      <vertAlign val="superscript"/>
      <sz val="10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/>
    <xf numFmtId="0" fontId="8" fillId="0" borderId="1" xfId="1" applyNumberFormat="1" applyFont="1" applyFill="1" applyBorder="1" applyAlignment="1">
      <alignment horizontal="center"/>
    </xf>
    <xf numFmtId="2" fontId="8" fillId="0" borderId="1" xfId="1" applyNumberFormat="1" applyFont="1" applyFill="1" applyBorder="1" applyAlignment="1">
      <alignment horizontal="center"/>
    </xf>
    <xf numFmtId="0" fontId="8" fillId="0" borderId="1" xfId="1" applyFont="1" applyFill="1" applyBorder="1" applyAlignment="1">
      <alignment horizontal="center"/>
    </xf>
    <xf numFmtId="0" fontId="8" fillId="0" borderId="1" xfId="1" applyFont="1" applyBorder="1" applyAlignment="1">
      <alignment horizontal="center"/>
    </xf>
    <xf numFmtId="0" fontId="8" fillId="0" borderId="1" xfId="1" applyFont="1" applyBorder="1" applyAlignment="1">
      <alignment horizontal="center"/>
    </xf>
    <xf numFmtId="164" fontId="8" fillId="0" borderId="1" xfId="1" applyNumberFormat="1" applyFont="1" applyFill="1" applyBorder="1" applyAlignment="1">
      <alignment horizontal="center"/>
    </xf>
    <xf numFmtId="0" fontId="8" fillId="0" borderId="1" xfId="1" applyFont="1" applyFill="1" applyBorder="1" applyAlignment="1">
      <alignment horizontal="center"/>
    </xf>
    <xf numFmtId="0" fontId="2" fillId="0" borderId="0" xfId="0" applyFont="1" applyBorder="1" applyAlignment="1"/>
    <xf numFmtId="0" fontId="5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/>
    </xf>
    <xf numFmtId="0" fontId="9" fillId="0" borderId="1" xfId="0" applyFont="1" applyBorder="1" applyAlignment="1">
      <alignment vertical="center"/>
    </xf>
    <xf numFmtId="0" fontId="8" fillId="0" borderId="1" xfId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8" fillId="0" borderId="1" xfId="1" applyNumberFormat="1" applyFont="1" applyFill="1" applyBorder="1" applyAlignment="1">
      <alignment horizontal="center"/>
    </xf>
    <xf numFmtId="0" fontId="8" fillId="0" borderId="1" xfId="1" applyNumberFormat="1" applyFont="1" applyBorder="1" applyAlignment="1">
      <alignment horizontal="center"/>
    </xf>
  </cellXfs>
  <cellStyles count="2">
    <cellStyle name="Normal" xfId="0" builtinId="0"/>
    <cellStyle name="Normal_ed-recap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tabSelected="1" zoomScale="140" zoomScaleNormal="140" workbookViewId="0">
      <selection activeCell="D19" sqref="D19"/>
    </sheetView>
  </sheetViews>
  <sheetFormatPr baseColWidth="10" defaultRowHeight="15" x14ac:dyDescent="0.25"/>
  <cols>
    <col min="1" max="1" width="6.28515625" style="2" customWidth="1"/>
    <col min="2" max="2" width="31.140625" style="2" customWidth="1"/>
    <col min="3" max="3" width="19" style="2" customWidth="1"/>
    <col min="4" max="4" width="21.140625" style="2" customWidth="1"/>
    <col min="5" max="5" width="27.42578125" style="2" customWidth="1"/>
    <col min="6" max="6" width="14.7109375" style="2" customWidth="1"/>
    <col min="7" max="7" width="5.85546875" style="2" bestFit="1" customWidth="1"/>
    <col min="8" max="8" width="19.5703125" style="2" customWidth="1"/>
    <col min="9" max="9" width="26.5703125" style="2" customWidth="1"/>
    <col min="10" max="10" width="12.85546875" style="2" customWidth="1"/>
    <col min="11" max="11" width="6.5703125" style="2" customWidth="1"/>
    <col min="12" max="12" width="18" style="2" customWidth="1"/>
    <col min="13" max="16384" width="11.42578125" style="2"/>
  </cols>
  <sheetData>
    <row r="1" spans="1:12" s="1" customFormat="1" ht="16.5" customHeight="1" x14ac:dyDescent="0.25">
      <c r="A1" s="13" t="s">
        <v>16</v>
      </c>
      <c r="B1" s="13" t="s">
        <v>0</v>
      </c>
      <c r="C1" s="14" t="s">
        <v>18</v>
      </c>
      <c r="D1" s="14" t="s">
        <v>19</v>
      </c>
      <c r="E1" s="14" t="s">
        <v>20</v>
      </c>
      <c r="F1" s="15" t="s">
        <v>11</v>
      </c>
      <c r="G1" s="16" t="s">
        <v>12</v>
      </c>
      <c r="H1" s="16"/>
      <c r="I1" s="15" t="s">
        <v>13</v>
      </c>
      <c r="J1" s="15" t="s">
        <v>14</v>
      </c>
      <c r="K1" s="14" t="s">
        <v>21</v>
      </c>
      <c r="L1" s="15" t="s">
        <v>15</v>
      </c>
    </row>
    <row r="2" spans="1:12" s="1" customFormat="1" x14ac:dyDescent="0.25">
      <c r="A2" s="17">
        <v>2022</v>
      </c>
      <c r="B2" s="18" t="s">
        <v>1</v>
      </c>
      <c r="C2" s="6">
        <v>2.8</v>
      </c>
      <c r="D2" s="6">
        <v>2.4900000000000002</v>
      </c>
      <c r="E2" s="6">
        <f>+C2-D2</f>
        <v>0.30999999999999961</v>
      </c>
      <c r="F2" s="7">
        <v>51</v>
      </c>
      <c r="G2" s="8">
        <v>0</v>
      </c>
      <c r="H2" s="8"/>
      <c r="I2" s="9">
        <v>0</v>
      </c>
      <c r="J2" s="6">
        <v>2.4900000000000002</v>
      </c>
      <c r="K2" s="7">
        <v>51</v>
      </c>
      <c r="L2" s="7">
        <f>+I2+G2+F2</f>
        <v>51</v>
      </c>
    </row>
    <row r="3" spans="1:12" s="1" customFormat="1" x14ac:dyDescent="0.25">
      <c r="A3" s="17">
        <v>2022</v>
      </c>
      <c r="B3" s="19" t="s">
        <v>2</v>
      </c>
      <c r="C3" s="6">
        <v>3.2</v>
      </c>
      <c r="D3" s="5">
        <v>0.59799999999999998</v>
      </c>
      <c r="E3" s="6">
        <f t="shared" ref="E3:E10" si="0">+C3-D3</f>
        <v>2.6020000000000003</v>
      </c>
      <c r="F3" s="7">
        <v>36</v>
      </c>
      <c r="G3" s="8">
        <v>0</v>
      </c>
      <c r="H3" s="8"/>
      <c r="I3" s="9">
        <v>0</v>
      </c>
      <c r="J3" s="5">
        <v>0.59799999999999998</v>
      </c>
      <c r="K3" s="7">
        <v>36</v>
      </c>
      <c r="L3" s="7">
        <f t="shared" ref="L3:L10" si="1">+I3+G3+F3</f>
        <v>36</v>
      </c>
    </row>
    <row r="4" spans="1:12" s="1" customFormat="1" x14ac:dyDescent="0.25">
      <c r="A4" s="17">
        <v>2022</v>
      </c>
      <c r="B4" s="19" t="s">
        <v>3</v>
      </c>
      <c r="C4" s="6">
        <v>3.8</v>
      </c>
      <c r="D4" s="6">
        <v>5.62</v>
      </c>
      <c r="E4" s="6">
        <f t="shared" si="0"/>
        <v>-1.8200000000000003</v>
      </c>
      <c r="F4" s="7">
        <v>154</v>
      </c>
      <c r="G4" s="8">
        <v>0</v>
      </c>
      <c r="H4" s="8"/>
      <c r="I4" s="9">
        <v>0</v>
      </c>
      <c r="J4" s="6">
        <v>5.62</v>
      </c>
      <c r="K4" s="7">
        <v>154</v>
      </c>
      <c r="L4" s="7">
        <f t="shared" si="1"/>
        <v>154</v>
      </c>
    </row>
    <row r="5" spans="1:12" x14ac:dyDescent="0.25">
      <c r="A5" s="17">
        <v>2022</v>
      </c>
      <c r="B5" s="19" t="s">
        <v>4</v>
      </c>
      <c r="C5" s="6">
        <v>4.7</v>
      </c>
      <c r="D5" s="10">
        <v>0.13700000000000001</v>
      </c>
      <c r="E5" s="6">
        <f t="shared" si="0"/>
        <v>4.5630000000000006</v>
      </c>
      <c r="F5" s="7">
        <v>6</v>
      </c>
      <c r="G5" s="8">
        <v>0</v>
      </c>
      <c r="H5" s="8"/>
      <c r="I5" s="9">
        <v>0</v>
      </c>
      <c r="J5" s="10">
        <v>0.13700000000000001</v>
      </c>
      <c r="K5" s="7">
        <v>6</v>
      </c>
      <c r="L5" s="7">
        <f t="shared" si="1"/>
        <v>6</v>
      </c>
    </row>
    <row r="6" spans="1:12" x14ac:dyDescent="0.25">
      <c r="A6" s="17">
        <v>2022</v>
      </c>
      <c r="B6" s="19" t="s">
        <v>5</v>
      </c>
      <c r="C6" s="6">
        <v>2.8</v>
      </c>
      <c r="D6" s="6">
        <v>2.5499999999999998</v>
      </c>
      <c r="E6" s="6">
        <f t="shared" si="0"/>
        <v>0.25</v>
      </c>
      <c r="F6" s="7">
        <v>92</v>
      </c>
      <c r="G6" s="8">
        <v>0</v>
      </c>
      <c r="H6" s="8"/>
      <c r="I6" s="9">
        <v>0</v>
      </c>
      <c r="J6" s="6">
        <v>2.5499999999999998</v>
      </c>
      <c r="K6" s="7">
        <v>92</v>
      </c>
      <c r="L6" s="7">
        <f t="shared" si="1"/>
        <v>92</v>
      </c>
    </row>
    <row r="7" spans="1:12" s="3" customFormat="1" x14ac:dyDescent="0.25">
      <c r="A7" s="17">
        <v>2022</v>
      </c>
      <c r="B7" s="19" t="s">
        <v>6</v>
      </c>
      <c r="C7" s="6">
        <v>6.3</v>
      </c>
      <c r="D7" s="6">
        <v>5.36</v>
      </c>
      <c r="E7" s="6">
        <f t="shared" si="0"/>
        <v>0.9399999999999995</v>
      </c>
      <c r="F7" s="7">
        <v>84</v>
      </c>
      <c r="G7" s="8">
        <v>0</v>
      </c>
      <c r="H7" s="8"/>
      <c r="I7" s="9">
        <v>1</v>
      </c>
      <c r="J7" s="6">
        <v>5.36</v>
      </c>
      <c r="K7" s="7">
        <v>85</v>
      </c>
      <c r="L7" s="7">
        <f t="shared" si="1"/>
        <v>85</v>
      </c>
    </row>
    <row r="8" spans="1:12" x14ac:dyDescent="0.25">
      <c r="A8" s="17">
        <v>2022</v>
      </c>
      <c r="B8" s="19" t="s">
        <v>7</v>
      </c>
      <c r="C8" s="6">
        <v>9.5</v>
      </c>
      <c r="D8" s="5">
        <v>4.6589999999999998</v>
      </c>
      <c r="E8" s="6">
        <f t="shared" si="0"/>
        <v>4.8410000000000002</v>
      </c>
      <c r="F8" s="7">
        <v>37</v>
      </c>
      <c r="G8" s="11">
        <v>3</v>
      </c>
      <c r="H8" s="11"/>
      <c r="I8" s="9">
        <v>0</v>
      </c>
      <c r="J8" s="5">
        <v>4.6589999999999998</v>
      </c>
      <c r="K8" s="7">
        <v>40</v>
      </c>
      <c r="L8" s="7">
        <f t="shared" si="1"/>
        <v>40</v>
      </c>
    </row>
    <row r="9" spans="1:12" x14ac:dyDescent="0.25">
      <c r="A9" s="17">
        <v>2022</v>
      </c>
      <c r="B9" s="19" t="s">
        <v>8</v>
      </c>
      <c r="C9" s="6">
        <v>12.6</v>
      </c>
      <c r="D9" s="9">
        <v>3.359</v>
      </c>
      <c r="E9" s="6">
        <f t="shared" si="0"/>
        <v>9.2409999999999997</v>
      </c>
      <c r="F9" s="9">
        <v>0</v>
      </c>
      <c r="G9" s="11">
        <v>16</v>
      </c>
      <c r="H9" s="11"/>
      <c r="I9" s="9">
        <v>0</v>
      </c>
      <c r="J9" s="5">
        <v>3.359</v>
      </c>
      <c r="K9" s="7">
        <v>16</v>
      </c>
      <c r="L9" s="7">
        <f t="shared" si="1"/>
        <v>16</v>
      </c>
    </row>
    <row r="10" spans="1:12" x14ac:dyDescent="0.25">
      <c r="A10" s="17">
        <v>2022</v>
      </c>
      <c r="B10" s="19" t="s">
        <v>9</v>
      </c>
      <c r="C10" s="6">
        <v>4.7</v>
      </c>
      <c r="D10" s="6">
        <v>1.43</v>
      </c>
      <c r="E10" s="6">
        <f t="shared" si="0"/>
        <v>3.2700000000000005</v>
      </c>
      <c r="F10" s="7">
        <v>5</v>
      </c>
      <c r="G10" s="11">
        <v>2</v>
      </c>
      <c r="H10" s="11"/>
      <c r="I10" s="9">
        <v>0</v>
      </c>
      <c r="J10" s="6">
        <v>1.43</v>
      </c>
      <c r="K10" s="7">
        <v>7</v>
      </c>
      <c r="L10" s="7">
        <f t="shared" si="1"/>
        <v>7</v>
      </c>
    </row>
    <row r="11" spans="1:12" x14ac:dyDescent="0.25">
      <c r="A11" s="17">
        <v>2022</v>
      </c>
      <c r="B11" s="20" t="s">
        <v>17</v>
      </c>
      <c r="C11" s="5">
        <f>SUM(C2:C10)</f>
        <v>50.400000000000006</v>
      </c>
      <c r="D11" s="5">
        <f>SUM(D2:D10)</f>
        <v>26.202999999999996</v>
      </c>
      <c r="E11" s="5">
        <f>SUM(E2:E10)</f>
        <v>24.196999999999999</v>
      </c>
      <c r="F11" s="5">
        <f>SUM(F2:F10)</f>
        <v>465</v>
      </c>
      <c r="G11" s="21">
        <f t="shared" ref="G11" si="2">SUM(G2:G10)</f>
        <v>21</v>
      </c>
      <c r="H11" s="21"/>
      <c r="I11" s="22">
        <f>SUM(I2:I10)</f>
        <v>1</v>
      </c>
      <c r="J11" s="5">
        <f>SUM(J2:J10)</f>
        <v>26.202999999999996</v>
      </c>
      <c r="K11" s="5">
        <f>SUM(K2:K10)</f>
        <v>487</v>
      </c>
      <c r="L11" s="5">
        <f>SUM(L2:L10)</f>
        <v>487</v>
      </c>
    </row>
    <row r="12" spans="1:12" x14ac:dyDescent="0.25">
      <c r="C12" s="12" t="s">
        <v>10</v>
      </c>
      <c r="D12" s="12"/>
      <c r="E12" s="12"/>
      <c r="F12" s="12"/>
      <c r="G12" s="12"/>
      <c r="H12" s="12"/>
      <c r="I12" s="12"/>
      <c r="J12" s="12"/>
      <c r="K12" s="12"/>
    </row>
    <row r="13" spans="1:12" x14ac:dyDescent="0.25">
      <c r="C13" s="4"/>
      <c r="D13" s="4"/>
      <c r="E13" s="4"/>
      <c r="F13" s="4"/>
      <c r="G13" s="4"/>
      <c r="H13" s="4"/>
      <c r="I13" s="4"/>
      <c r="J13" s="4"/>
      <c r="K13" s="4"/>
    </row>
    <row r="14" spans="1:12" x14ac:dyDescent="0.25">
      <c r="D14" s="4"/>
      <c r="E14" s="4"/>
      <c r="F14" s="4"/>
      <c r="G14" s="4"/>
      <c r="H14" s="4"/>
      <c r="I14" s="4"/>
      <c r="J14" s="4"/>
      <c r="K14" s="4"/>
    </row>
    <row r="15" spans="1:12" x14ac:dyDescent="0.25">
      <c r="C15" s="4"/>
      <c r="D15" s="4"/>
      <c r="E15" s="4"/>
      <c r="F15" s="4"/>
      <c r="G15" s="4"/>
      <c r="H15" s="4"/>
      <c r="I15" s="4"/>
      <c r="J15" s="4"/>
      <c r="K15" s="4"/>
    </row>
    <row r="16" spans="1:12" x14ac:dyDescent="0.25">
      <c r="C16" s="4"/>
      <c r="D16" s="4"/>
      <c r="E16" s="4"/>
      <c r="F16" s="4"/>
      <c r="G16" s="4"/>
      <c r="H16" s="4"/>
      <c r="I16" s="4"/>
      <c r="J16" s="4"/>
      <c r="K16" s="4"/>
    </row>
    <row r="17" spans="3:11" x14ac:dyDescent="0.25">
      <c r="C17" s="4"/>
      <c r="D17" s="4"/>
      <c r="E17" s="4"/>
      <c r="F17" s="4"/>
      <c r="G17" s="4"/>
      <c r="H17" s="4"/>
      <c r="I17" s="4"/>
      <c r="J17" s="4"/>
      <c r="K17" s="4"/>
    </row>
  </sheetData>
  <mergeCells count="11">
    <mergeCell ref="G1:H1"/>
    <mergeCell ref="G11:H11"/>
    <mergeCell ref="G6:H6"/>
    <mergeCell ref="G7:H7"/>
    <mergeCell ref="G8:H8"/>
    <mergeCell ref="G9:H9"/>
    <mergeCell ref="G10:H10"/>
    <mergeCell ref="G2:H2"/>
    <mergeCell ref="G3:H3"/>
    <mergeCell ref="G4:H4"/>
    <mergeCell ref="G5:H5"/>
  </mergeCells>
  <pageMargins left="0.70866141732283472" right="0.70866141732283472" top="0.74803149606299213" bottom="0.74803149606299213" header="0.31496062992125984" footer="0.31496062992125984"/>
  <pageSetup paperSize="9" scale="8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Nappe profonde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2024-06-06T08:20:31Z</dcterms:modified>
</cp:coreProperties>
</file>