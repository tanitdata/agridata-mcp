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01A27E21-BE7D-41C1-B844-85A77CD77A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3" r:id="rId1"/>
    <sheet name="initia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3" l="1"/>
  <c r="D37" i="3"/>
  <c r="D36" i="3"/>
  <c r="D35" i="3"/>
  <c r="D34" i="3"/>
  <c r="D33" i="3"/>
  <c r="D32" i="3"/>
  <c r="D31" i="3"/>
  <c r="D30" i="3"/>
  <c r="D29" i="3"/>
  <c r="D28" i="3"/>
  <c r="D27" i="3"/>
  <c r="D14" i="3"/>
  <c r="D12" i="3"/>
  <c r="D8" i="3"/>
  <c r="D7" i="3"/>
  <c r="D5" i="3"/>
  <c r="D2" i="3"/>
  <c r="G13" i="2"/>
  <c r="G14" i="2"/>
  <c r="G15" i="2"/>
  <c r="G4" i="2"/>
  <c r="G10" i="2" l="1"/>
  <c r="G12" i="2"/>
  <c r="G11" i="2"/>
  <c r="G9" i="2"/>
  <c r="G8" i="2"/>
  <c r="G7" i="2"/>
  <c r="G6" i="2"/>
  <c r="G5" i="2"/>
  <c r="E4" i="2"/>
  <c r="C14" i="2"/>
  <c r="C10" i="2"/>
  <c r="C9" i="2"/>
  <c r="C7" i="2"/>
  <c r="C4" i="2"/>
</calcChain>
</file>

<file path=xl/sharedStrings.xml><?xml version="1.0" encoding="utf-8"?>
<sst xmlns="http://schemas.openxmlformats.org/spreadsheetml/2006/main" count="128" uniqueCount="27">
  <si>
    <t>الأشجار المثمرة</t>
  </si>
  <si>
    <t>تربية الماشية (أغنام، حيوانات مرفقة)</t>
  </si>
  <si>
    <t>المراعي والغابات</t>
  </si>
  <si>
    <t>هياكل الدعم</t>
  </si>
  <si>
    <t>تنمية قطاع الزياتين</t>
  </si>
  <si>
    <t>الفلاحة البيولوجية</t>
  </si>
  <si>
    <t>تحسين التقنيات الزراعية تحت البيوت الحامية</t>
  </si>
  <si>
    <t>تنمية اللحوم والألبان</t>
  </si>
  <si>
    <t>الزراعات العلفية</t>
  </si>
  <si>
    <t>زراعة الخضروات</t>
  </si>
  <si>
    <t>الهندسة ريفية (مناطق سقوية - الاقتصاد في مياه الري - ميكنة)</t>
  </si>
  <si>
    <t xml:space="preserve"> الزراعات الكبرى والأعلاف</t>
  </si>
  <si>
    <t>Année</t>
  </si>
  <si>
    <t>Thèmes</t>
  </si>
  <si>
    <t>Homme</t>
  </si>
  <si>
    <t>Femme</t>
  </si>
  <si>
    <t>Nombre_jours_d'information</t>
  </si>
  <si>
    <t>Nombre_séances_application</t>
  </si>
  <si>
    <t>Nombre_bénéficiaires_intervention_sur_champs</t>
  </si>
  <si>
    <t>Nombre_bénéficiaires_parcelle_pilote</t>
  </si>
  <si>
    <t>Nombre_bénéficiaires_participants</t>
  </si>
  <si>
    <t>Thème</t>
  </si>
  <si>
    <t>Nature_intervention</t>
  </si>
  <si>
    <t>Nombre jours d'information</t>
  </si>
  <si>
    <t>Nombre séances d'application</t>
  </si>
  <si>
    <t>Nombre bénéficiaires d'intervention sur champs</t>
  </si>
  <si>
    <t>Nombre de bénéficiaires de parcelle pilote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</si>
</sst>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ae_AlMohanad"/>
      <family val="1"/>
    </font>
    <font>
      <b/>
      <sz val="14"/>
      <color theme="1"/>
      <name val="ae_AlMohanad"/>
      <family val="1"/>
    </font>
    <font>
      <b/>
      <sz val="12"/>
      <color theme="1"/>
      <name val="ae_AlMohanad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1" fillId="0" borderId="9" xfId="0" applyFont="1" applyBorder="1" applyAlignment="1">
      <alignment horizontal="center" vertical="center" wrapText="1" readingOrder="2"/>
    </xf>
    <xf numFmtId="0" fontId="1" fillId="0" borderId="10" xfId="0" applyFont="1" applyBorder="1" applyAlignment="1">
      <alignment horizontal="center" vertical="center" wrapText="1" readingOrder="2"/>
    </xf>
    <xf numFmtId="0" fontId="1" fillId="0" borderId="13" xfId="0" applyFont="1" applyBorder="1" applyAlignment="1">
      <alignment horizontal="center" vertical="center" wrapText="1" readingOrder="2"/>
    </xf>
    <xf numFmtId="0" fontId="1" fillId="0" borderId="14" xfId="0" applyFont="1" applyBorder="1" applyAlignment="1">
      <alignment horizontal="center" vertical="center" wrapText="1" readingOrder="2"/>
    </xf>
    <xf numFmtId="0" fontId="1" fillId="0" borderId="15" xfId="0" applyFont="1" applyBorder="1" applyAlignment="1">
      <alignment horizontal="center"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2" fillId="2" borderId="13" xfId="0" applyFont="1" applyFill="1" applyBorder="1" applyAlignment="1">
      <alignment horizontal="center" vertical="top"/>
    </xf>
    <xf numFmtId="0" fontId="3" fillId="2" borderId="21" xfId="0" applyFont="1" applyFill="1" applyBorder="1" applyAlignment="1">
      <alignment horizontal="center" vertical="center" wrapText="1" readingOrder="2"/>
    </xf>
    <xf numFmtId="0" fontId="3" fillId="2" borderId="20" xfId="0" applyFont="1" applyFill="1" applyBorder="1" applyAlignment="1">
      <alignment horizontal="center" vertical="center" wrapText="1" readingOrder="2"/>
    </xf>
    <xf numFmtId="0" fontId="2" fillId="2" borderId="19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center" vertical="top"/>
    </xf>
    <xf numFmtId="0" fontId="2" fillId="2" borderId="16" xfId="0" applyFont="1" applyFill="1" applyBorder="1" applyAlignment="1">
      <alignment horizontal="center" vertical="top"/>
    </xf>
    <xf numFmtId="0" fontId="2" fillId="2" borderId="17" xfId="0" applyFont="1" applyFill="1" applyBorder="1" applyAlignment="1">
      <alignment horizontal="center" vertical="top"/>
    </xf>
    <xf numFmtId="0" fontId="2" fillId="2" borderId="18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2"/>
    </xf>
    <xf numFmtId="0" fontId="3" fillId="2" borderId="17" xfId="0" applyFont="1" applyFill="1" applyBorder="1" applyAlignment="1">
      <alignment horizontal="center" vertical="center" wrapText="1" readingOrder="2"/>
    </xf>
    <xf numFmtId="0" fontId="0" fillId="0" borderId="0" xfId="0" applyAlignment="1">
      <alignment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5" borderId="2" xfId="0" applyFont="1" applyFill="1" applyBorder="1" applyAlignment="1">
      <alignment horizontal="center" vertical="center" wrapText="1" readingOrder="1"/>
    </xf>
    <xf numFmtId="0" fontId="1" fillId="4" borderId="2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2" fillId="6" borderId="2" xfId="0" applyFont="1" applyFill="1" applyBorder="1" applyAlignment="1">
      <alignment horizontal="center" vertical="top" readingOrder="1"/>
    </xf>
    <xf numFmtId="0" fontId="2" fillId="6" borderId="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FDCE-756C-41B0-BF7A-8A83546C3875}">
  <dimension ref="A1:E49"/>
  <sheetViews>
    <sheetView workbookViewId="0">
      <selection activeCell="F20" sqref="F20"/>
    </sheetView>
  </sheetViews>
  <sheetFormatPr baseColWidth="10" defaultColWidth="45.85546875" defaultRowHeight="15"/>
  <cols>
    <col min="1" max="1" width="8.5703125" style="28" bestFit="1" customWidth="1"/>
    <col min="2" max="2" width="47.28515625" style="28" bestFit="1" customWidth="1"/>
    <col min="3" max="3" width="45" style="28" bestFit="1" customWidth="1"/>
    <col min="4" max="4" width="10.28515625" style="28" bestFit="1" customWidth="1"/>
    <col min="5" max="5" width="9.85546875" style="28" bestFit="1" customWidth="1"/>
    <col min="6" max="16384" width="45.85546875" style="28"/>
  </cols>
  <sheetData>
    <row r="1" spans="1:5" ht="18.75">
      <c r="A1" s="34" t="s">
        <v>12</v>
      </c>
      <c r="B1" s="34" t="s">
        <v>21</v>
      </c>
      <c r="C1" s="34" t="s">
        <v>22</v>
      </c>
      <c r="D1" s="34" t="s">
        <v>14</v>
      </c>
      <c r="E1" s="35" t="s">
        <v>15</v>
      </c>
    </row>
    <row r="2" spans="1:5" ht="15.75">
      <c r="A2" s="29">
        <v>2024</v>
      </c>
      <c r="B2" s="29" t="s">
        <v>0</v>
      </c>
      <c r="C2" s="30" t="s">
        <v>23</v>
      </c>
      <c r="D2" s="29">
        <f>226-E2</f>
        <v>189</v>
      </c>
      <c r="E2" s="29">
        <v>37</v>
      </c>
    </row>
    <row r="3" spans="1:5" ht="15.75">
      <c r="A3" s="29">
        <v>2024</v>
      </c>
      <c r="B3" s="29" t="s">
        <v>9</v>
      </c>
      <c r="C3" s="30" t="s">
        <v>23</v>
      </c>
      <c r="D3" s="29">
        <v>29</v>
      </c>
      <c r="E3" s="29">
        <v>0</v>
      </c>
    </row>
    <row r="4" spans="1:5" ht="15.75">
      <c r="A4" s="29">
        <v>2024</v>
      </c>
      <c r="B4" s="29" t="s">
        <v>11</v>
      </c>
      <c r="C4" s="30" t="s">
        <v>23</v>
      </c>
      <c r="D4" s="29">
        <v>36</v>
      </c>
      <c r="E4" s="29">
        <v>0</v>
      </c>
    </row>
    <row r="5" spans="1:5" ht="15.75">
      <c r="A5" s="29">
        <v>2024</v>
      </c>
      <c r="B5" s="29" t="s">
        <v>1</v>
      </c>
      <c r="C5" s="30" t="s">
        <v>23</v>
      </c>
      <c r="D5" s="29">
        <f>165-E5</f>
        <v>158</v>
      </c>
      <c r="E5" s="29">
        <v>7</v>
      </c>
    </row>
    <row r="6" spans="1:5" ht="15.75">
      <c r="A6" s="29">
        <v>2024</v>
      </c>
      <c r="B6" s="29" t="s">
        <v>2</v>
      </c>
      <c r="C6" s="30" t="s">
        <v>23</v>
      </c>
      <c r="D6" s="29">
        <v>8</v>
      </c>
      <c r="E6" s="29">
        <v>0</v>
      </c>
    </row>
    <row r="7" spans="1:5" ht="15.75">
      <c r="A7" s="29">
        <v>2024</v>
      </c>
      <c r="B7" s="29" t="s">
        <v>3</v>
      </c>
      <c r="C7" s="30" t="s">
        <v>23</v>
      </c>
      <c r="D7" s="29">
        <f>91-E7</f>
        <v>2</v>
      </c>
      <c r="E7" s="29">
        <v>89</v>
      </c>
    </row>
    <row r="8" spans="1:5" ht="15.75">
      <c r="A8" s="29">
        <v>2024</v>
      </c>
      <c r="B8" s="29" t="s">
        <v>4</v>
      </c>
      <c r="C8" s="30" t="s">
        <v>23</v>
      </c>
      <c r="D8" s="29">
        <f>117-E8</f>
        <v>88</v>
      </c>
      <c r="E8" s="29">
        <v>29</v>
      </c>
    </row>
    <row r="9" spans="1:5" ht="15.75">
      <c r="A9" s="29">
        <v>2024</v>
      </c>
      <c r="B9" s="29" t="s">
        <v>5</v>
      </c>
      <c r="C9" s="30" t="s">
        <v>23</v>
      </c>
      <c r="D9" s="29">
        <v>69</v>
      </c>
      <c r="E9" s="29">
        <v>0</v>
      </c>
    </row>
    <row r="10" spans="1:5" ht="15.75">
      <c r="A10" s="29">
        <v>2024</v>
      </c>
      <c r="B10" s="29" t="s">
        <v>6</v>
      </c>
      <c r="C10" s="30" t="s">
        <v>23</v>
      </c>
      <c r="D10" s="29">
        <v>0</v>
      </c>
      <c r="E10" s="29">
        <v>0</v>
      </c>
    </row>
    <row r="11" spans="1:5" ht="15.75">
      <c r="A11" s="29">
        <v>2024</v>
      </c>
      <c r="B11" s="29" t="s">
        <v>7</v>
      </c>
      <c r="C11" s="30" t="s">
        <v>23</v>
      </c>
      <c r="D11" s="29">
        <v>0</v>
      </c>
      <c r="E11" s="29">
        <v>0</v>
      </c>
    </row>
    <row r="12" spans="1:5" ht="15.75">
      <c r="A12" s="29">
        <v>2024</v>
      </c>
      <c r="B12" s="29" t="s">
        <v>10</v>
      </c>
      <c r="C12" s="30" t="s">
        <v>23</v>
      </c>
      <c r="D12" s="29">
        <f>55-1</f>
        <v>54</v>
      </c>
      <c r="E12" s="29">
        <v>1</v>
      </c>
    </row>
    <row r="13" spans="1:5" ht="15.75">
      <c r="A13" s="29">
        <v>2024</v>
      </c>
      <c r="B13" s="29" t="s">
        <v>8</v>
      </c>
      <c r="C13" s="30" t="s">
        <v>23</v>
      </c>
      <c r="D13" s="29">
        <v>59</v>
      </c>
      <c r="E13" s="29">
        <v>0</v>
      </c>
    </row>
    <row r="14" spans="1:5" ht="16.5" customHeight="1">
      <c r="A14" s="29">
        <v>2024</v>
      </c>
      <c r="B14" s="29" t="s">
        <v>0</v>
      </c>
      <c r="C14" s="31" t="s">
        <v>24</v>
      </c>
      <c r="D14" s="2">
        <f>49-E14</f>
        <v>47</v>
      </c>
      <c r="E14" s="2">
        <v>2</v>
      </c>
    </row>
    <row r="15" spans="1:5" ht="15.75">
      <c r="A15" s="29">
        <v>2024</v>
      </c>
      <c r="B15" s="29" t="s">
        <v>9</v>
      </c>
      <c r="C15" s="31" t="s">
        <v>24</v>
      </c>
      <c r="D15" s="2">
        <v>31</v>
      </c>
      <c r="E15" s="2">
        <v>0</v>
      </c>
    </row>
    <row r="16" spans="1:5" ht="15.75">
      <c r="A16" s="29">
        <v>2024</v>
      </c>
      <c r="B16" s="29" t="s">
        <v>11</v>
      </c>
      <c r="C16" s="31" t="s">
        <v>24</v>
      </c>
      <c r="D16" s="2">
        <v>6</v>
      </c>
      <c r="E16" s="2">
        <v>0</v>
      </c>
    </row>
    <row r="17" spans="1:5" ht="15.75">
      <c r="A17" s="29">
        <v>2024</v>
      </c>
      <c r="B17" s="29" t="s">
        <v>1</v>
      </c>
      <c r="C17" s="31" t="s">
        <v>24</v>
      </c>
      <c r="D17" s="2">
        <v>0</v>
      </c>
      <c r="E17" s="2">
        <v>0</v>
      </c>
    </row>
    <row r="18" spans="1:5" ht="15.75">
      <c r="A18" s="29">
        <v>2024</v>
      </c>
      <c r="B18" s="29" t="s">
        <v>2</v>
      </c>
      <c r="C18" s="31" t="s">
        <v>24</v>
      </c>
      <c r="D18" s="2">
        <v>0</v>
      </c>
      <c r="E18" s="2">
        <v>0</v>
      </c>
    </row>
    <row r="19" spans="1:5" ht="15.75">
      <c r="A19" s="29">
        <v>2024</v>
      </c>
      <c r="B19" s="29" t="s">
        <v>3</v>
      </c>
      <c r="C19" s="31" t="s">
        <v>24</v>
      </c>
      <c r="D19" s="2">
        <v>0</v>
      </c>
      <c r="E19" s="2">
        <v>0</v>
      </c>
    </row>
    <row r="20" spans="1:5" ht="15.75">
      <c r="A20" s="29">
        <v>2024</v>
      </c>
      <c r="B20" s="29" t="s">
        <v>4</v>
      </c>
      <c r="C20" s="31" t="s">
        <v>24</v>
      </c>
      <c r="D20" s="2">
        <v>0</v>
      </c>
      <c r="E20" s="2">
        <v>0</v>
      </c>
    </row>
    <row r="21" spans="1:5" ht="15.75">
      <c r="A21" s="29">
        <v>2024</v>
      </c>
      <c r="B21" s="29" t="s">
        <v>5</v>
      </c>
      <c r="C21" s="31" t="s">
        <v>24</v>
      </c>
      <c r="D21" s="2">
        <v>12</v>
      </c>
      <c r="E21" s="2">
        <v>0</v>
      </c>
    </row>
    <row r="22" spans="1:5" ht="15.75">
      <c r="A22" s="29">
        <v>2024</v>
      </c>
      <c r="B22" s="29" t="s">
        <v>6</v>
      </c>
      <c r="C22" s="31" t="s">
        <v>24</v>
      </c>
      <c r="D22" s="2">
        <v>6</v>
      </c>
      <c r="E22" s="2">
        <v>0</v>
      </c>
    </row>
    <row r="23" spans="1:5" ht="15.75">
      <c r="A23" s="29">
        <v>2024</v>
      </c>
      <c r="B23" s="29" t="s">
        <v>7</v>
      </c>
      <c r="C23" s="31" t="s">
        <v>24</v>
      </c>
      <c r="D23" s="2">
        <v>0</v>
      </c>
      <c r="E23" s="2">
        <v>0</v>
      </c>
    </row>
    <row r="24" spans="1:5" ht="15.75">
      <c r="A24" s="29">
        <v>2024</v>
      </c>
      <c r="B24" s="29" t="s">
        <v>10</v>
      </c>
      <c r="C24" s="31" t="s">
        <v>24</v>
      </c>
      <c r="D24" s="2">
        <v>0</v>
      </c>
      <c r="E24" s="2">
        <v>0</v>
      </c>
    </row>
    <row r="25" spans="1:5" ht="15.75">
      <c r="A25" s="29">
        <v>2024</v>
      </c>
      <c r="B25" s="29" t="s">
        <v>8</v>
      </c>
      <c r="C25" s="31" t="s">
        <v>24</v>
      </c>
      <c r="D25" s="2">
        <v>0</v>
      </c>
      <c r="E25" s="2">
        <v>0</v>
      </c>
    </row>
    <row r="26" spans="1:5" ht="15.75" customHeight="1">
      <c r="A26" s="29">
        <v>2024</v>
      </c>
      <c r="B26" s="29" t="s">
        <v>0</v>
      </c>
      <c r="C26" s="32" t="s">
        <v>25</v>
      </c>
      <c r="D26" s="2">
        <f>1289-E26</f>
        <v>1201</v>
      </c>
      <c r="E26" s="2">
        <v>88</v>
      </c>
    </row>
    <row r="27" spans="1:5" ht="15.75">
      <c r="A27" s="29">
        <v>2024</v>
      </c>
      <c r="B27" s="29" t="s">
        <v>9</v>
      </c>
      <c r="C27" s="32" t="s">
        <v>25</v>
      </c>
      <c r="D27" s="2">
        <f>1687-E27</f>
        <v>1630</v>
      </c>
      <c r="E27" s="2">
        <v>57</v>
      </c>
    </row>
    <row r="28" spans="1:5" ht="15.75">
      <c r="A28" s="29">
        <v>2024</v>
      </c>
      <c r="B28" s="29" t="s">
        <v>11</v>
      </c>
      <c r="C28" s="32" t="s">
        <v>25</v>
      </c>
      <c r="D28" s="2">
        <f>241-E28</f>
        <v>226</v>
      </c>
      <c r="E28" s="2">
        <v>15</v>
      </c>
    </row>
    <row r="29" spans="1:5" ht="15.75">
      <c r="A29" s="29">
        <v>2024</v>
      </c>
      <c r="B29" s="29" t="s">
        <v>1</v>
      </c>
      <c r="C29" s="32" t="s">
        <v>25</v>
      </c>
      <c r="D29" s="2">
        <f>1162-E29</f>
        <v>748</v>
      </c>
      <c r="E29" s="2">
        <v>414</v>
      </c>
    </row>
    <row r="30" spans="1:5" ht="15.75">
      <c r="A30" s="29">
        <v>2024</v>
      </c>
      <c r="B30" s="29" t="s">
        <v>2</v>
      </c>
      <c r="C30" s="32" t="s">
        <v>25</v>
      </c>
      <c r="D30" s="2">
        <f>104-E30</f>
        <v>102</v>
      </c>
      <c r="E30" s="2">
        <v>2</v>
      </c>
    </row>
    <row r="31" spans="1:5" ht="15.75">
      <c r="A31" s="29">
        <v>2024</v>
      </c>
      <c r="B31" s="29" t="s">
        <v>3</v>
      </c>
      <c r="C31" s="32" t="s">
        <v>25</v>
      </c>
      <c r="D31" s="2">
        <f>633-E31</f>
        <v>622</v>
      </c>
      <c r="E31" s="2">
        <v>11</v>
      </c>
    </row>
    <row r="32" spans="1:5" ht="15.75">
      <c r="A32" s="29">
        <v>2024</v>
      </c>
      <c r="B32" s="29" t="s">
        <v>4</v>
      </c>
      <c r="C32" s="32" t="s">
        <v>25</v>
      </c>
      <c r="D32" s="2">
        <f>1528-E32</f>
        <v>1474</v>
      </c>
      <c r="E32" s="2">
        <v>54</v>
      </c>
    </row>
    <row r="33" spans="1:5" ht="15.75">
      <c r="A33" s="29">
        <v>2024</v>
      </c>
      <c r="B33" s="29" t="s">
        <v>5</v>
      </c>
      <c r="C33" s="32" t="s">
        <v>25</v>
      </c>
      <c r="D33" s="2">
        <f>156-E33</f>
        <v>153</v>
      </c>
      <c r="E33" s="2">
        <v>3</v>
      </c>
    </row>
    <row r="34" spans="1:5" ht="15.75">
      <c r="A34" s="29">
        <v>2024</v>
      </c>
      <c r="B34" s="29" t="s">
        <v>6</v>
      </c>
      <c r="C34" s="32" t="s">
        <v>25</v>
      </c>
      <c r="D34" s="2">
        <f>1506-E34</f>
        <v>1506</v>
      </c>
      <c r="E34" s="2">
        <v>0</v>
      </c>
    </row>
    <row r="35" spans="1:5" ht="15.75">
      <c r="A35" s="29">
        <v>2024</v>
      </c>
      <c r="B35" s="29" t="s">
        <v>7</v>
      </c>
      <c r="C35" s="32" t="s">
        <v>25</v>
      </c>
      <c r="D35" s="2">
        <f>411-E35</f>
        <v>411</v>
      </c>
      <c r="E35" s="2">
        <v>0</v>
      </c>
    </row>
    <row r="36" spans="1:5" ht="15.75">
      <c r="A36" s="29">
        <v>2024</v>
      </c>
      <c r="B36" s="29" t="s">
        <v>10</v>
      </c>
      <c r="C36" s="32" t="s">
        <v>25</v>
      </c>
      <c r="D36" s="2">
        <f>1030-E36</f>
        <v>984</v>
      </c>
      <c r="E36" s="2">
        <v>46</v>
      </c>
    </row>
    <row r="37" spans="1:5" ht="15.75">
      <c r="A37" s="29">
        <v>2024</v>
      </c>
      <c r="B37" s="29" t="s">
        <v>8</v>
      </c>
      <c r="C37" s="32" t="s">
        <v>25</v>
      </c>
      <c r="D37" s="2">
        <f>358-E37</f>
        <v>278</v>
      </c>
      <c r="E37" s="2">
        <v>80</v>
      </c>
    </row>
    <row r="38" spans="1:5" ht="15.75">
      <c r="A38" s="29">
        <v>2024</v>
      </c>
      <c r="B38" s="29" t="s">
        <v>0</v>
      </c>
      <c r="C38" s="33" t="s">
        <v>26</v>
      </c>
      <c r="D38" s="2">
        <v>0</v>
      </c>
      <c r="E38" s="2">
        <v>0</v>
      </c>
    </row>
    <row r="39" spans="1:5" ht="15.75">
      <c r="A39" s="29">
        <v>2024</v>
      </c>
      <c r="B39" s="29" t="s">
        <v>9</v>
      </c>
      <c r="C39" s="33" t="s">
        <v>26</v>
      </c>
      <c r="D39" s="2">
        <v>0</v>
      </c>
      <c r="E39" s="2">
        <v>0</v>
      </c>
    </row>
    <row r="40" spans="1:5" ht="15.75">
      <c r="A40" s="29">
        <v>2024</v>
      </c>
      <c r="B40" s="29" t="s">
        <v>11</v>
      </c>
      <c r="C40" s="33" t="s">
        <v>26</v>
      </c>
      <c r="D40" s="2">
        <v>0</v>
      </c>
      <c r="E40" s="2">
        <v>0</v>
      </c>
    </row>
    <row r="41" spans="1:5" ht="15.75">
      <c r="A41" s="29">
        <v>2024</v>
      </c>
      <c r="B41" s="29" t="s">
        <v>1</v>
      </c>
      <c r="C41" s="33" t="s">
        <v>26</v>
      </c>
      <c r="D41" s="2">
        <v>0</v>
      </c>
      <c r="E41" s="2">
        <v>0</v>
      </c>
    </row>
    <row r="42" spans="1:5" ht="15.75">
      <c r="A42" s="29">
        <v>2024</v>
      </c>
      <c r="B42" s="29" t="s">
        <v>2</v>
      </c>
      <c r="C42" s="33" t="s">
        <v>26</v>
      </c>
      <c r="D42" s="2">
        <v>0</v>
      </c>
      <c r="E42" s="2">
        <v>0</v>
      </c>
    </row>
    <row r="43" spans="1:5" ht="15.75">
      <c r="A43" s="29">
        <v>2024</v>
      </c>
      <c r="B43" s="29" t="s">
        <v>3</v>
      </c>
      <c r="C43" s="33" t="s">
        <v>26</v>
      </c>
      <c r="D43" s="2">
        <v>0</v>
      </c>
      <c r="E43" s="2">
        <v>0</v>
      </c>
    </row>
    <row r="44" spans="1:5" ht="15.75">
      <c r="A44" s="29">
        <v>2024</v>
      </c>
      <c r="B44" s="29" t="s">
        <v>4</v>
      </c>
      <c r="C44" s="33" t="s">
        <v>26</v>
      </c>
      <c r="D44" s="2">
        <v>1</v>
      </c>
      <c r="E44" s="2">
        <v>0</v>
      </c>
    </row>
    <row r="45" spans="1:5" ht="15.75">
      <c r="A45" s="29">
        <v>2024</v>
      </c>
      <c r="B45" s="29" t="s">
        <v>5</v>
      </c>
      <c r="C45" s="33" t="s">
        <v>26</v>
      </c>
      <c r="D45" s="2">
        <v>0</v>
      </c>
      <c r="E45" s="2">
        <v>0</v>
      </c>
    </row>
    <row r="46" spans="1:5" ht="15.75">
      <c r="A46" s="29">
        <v>2024</v>
      </c>
      <c r="B46" s="29" t="s">
        <v>6</v>
      </c>
      <c r="C46" s="33" t="s">
        <v>26</v>
      </c>
      <c r="D46" s="2">
        <v>0</v>
      </c>
      <c r="E46" s="2">
        <v>0</v>
      </c>
    </row>
    <row r="47" spans="1:5" ht="15.75">
      <c r="A47" s="29">
        <v>2024</v>
      </c>
      <c r="B47" s="29" t="s">
        <v>7</v>
      </c>
      <c r="C47" s="33" t="s">
        <v>26</v>
      </c>
      <c r="D47" s="2">
        <v>0</v>
      </c>
      <c r="E47" s="2">
        <v>0</v>
      </c>
    </row>
    <row r="48" spans="1:5" ht="15.75">
      <c r="A48" s="29">
        <v>2024</v>
      </c>
      <c r="B48" s="29" t="s">
        <v>10</v>
      </c>
      <c r="C48" s="33" t="s">
        <v>26</v>
      </c>
      <c r="D48" s="2">
        <v>0</v>
      </c>
      <c r="E48" s="2">
        <v>0</v>
      </c>
    </row>
    <row r="49" spans="1:5" ht="15.75">
      <c r="A49" s="29">
        <v>2024</v>
      </c>
      <c r="B49" s="29" t="s">
        <v>8</v>
      </c>
      <c r="C49" s="33" t="s">
        <v>26</v>
      </c>
      <c r="D49" s="2">
        <v>0</v>
      </c>
      <c r="E49" s="2"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B19" sqref="B19"/>
    </sheetView>
  </sheetViews>
  <sheetFormatPr baseColWidth="10" defaultColWidth="9" defaultRowHeight="15"/>
  <cols>
    <col min="1" max="1" width="9.42578125" bestFit="1" customWidth="1"/>
    <col min="2" max="2" width="55.7109375" style="1" customWidth="1"/>
    <col min="3" max="3" width="21.42578125" style="1" customWidth="1"/>
    <col min="4" max="4" width="12.7109375" customWidth="1"/>
    <col min="5" max="5" width="11.42578125" bestFit="1" customWidth="1"/>
    <col min="6" max="6" width="10.85546875" bestFit="1" customWidth="1"/>
    <col min="7" max="7" width="20.28515625" customWidth="1"/>
    <col min="8" max="8" width="22.42578125" customWidth="1"/>
    <col min="9" max="9" width="11" customWidth="1"/>
    <col min="10" max="10" width="16.42578125" customWidth="1"/>
  </cols>
  <sheetData>
    <row r="1" spans="1:10" ht="20.25" customHeight="1">
      <c r="A1" s="19" t="s">
        <v>12</v>
      </c>
      <c r="B1" s="22" t="s">
        <v>13</v>
      </c>
      <c r="C1" s="16" t="s">
        <v>20</v>
      </c>
      <c r="D1" s="17"/>
      <c r="E1" s="17"/>
      <c r="F1" s="17"/>
      <c r="G1" s="17"/>
      <c r="H1" s="17"/>
      <c r="I1" s="17"/>
      <c r="J1" s="18"/>
    </row>
    <row r="2" spans="1:10" ht="57" customHeight="1">
      <c r="A2" s="20"/>
      <c r="B2" s="23"/>
      <c r="C2" s="27" t="s">
        <v>16</v>
      </c>
      <c r="D2" s="15"/>
      <c r="E2" s="14" t="s">
        <v>17</v>
      </c>
      <c r="F2" s="15"/>
      <c r="G2" s="14" t="s">
        <v>18</v>
      </c>
      <c r="H2" s="15"/>
      <c r="I2" s="14" t="s">
        <v>19</v>
      </c>
      <c r="J2" s="15"/>
    </row>
    <row r="3" spans="1:10" ht="29.25" customHeight="1" thickBot="1">
      <c r="A3" s="21"/>
      <c r="B3" s="24"/>
      <c r="C3" s="13" t="s">
        <v>14</v>
      </c>
      <c r="D3" s="12" t="s">
        <v>15</v>
      </c>
      <c r="E3" s="13" t="s">
        <v>14</v>
      </c>
      <c r="F3" s="12" t="s">
        <v>15</v>
      </c>
      <c r="G3" s="13" t="s">
        <v>14</v>
      </c>
      <c r="H3" s="12" t="s">
        <v>15</v>
      </c>
      <c r="I3" s="13" t="s">
        <v>14</v>
      </c>
      <c r="J3" s="12" t="s">
        <v>15</v>
      </c>
    </row>
    <row r="4" spans="1:10" ht="15.75">
      <c r="A4" s="25">
        <v>2024</v>
      </c>
      <c r="B4" s="7" t="s">
        <v>0</v>
      </c>
      <c r="C4" s="7">
        <f>226-D4</f>
        <v>189</v>
      </c>
      <c r="D4" s="8">
        <v>37</v>
      </c>
      <c r="E4" s="8">
        <f>49-F4</f>
        <v>47</v>
      </c>
      <c r="F4" s="8">
        <v>2</v>
      </c>
      <c r="G4" s="8">
        <f>1289-H4</f>
        <v>1201</v>
      </c>
      <c r="H4" s="8">
        <v>88</v>
      </c>
      <c r="I4" s="8">
        <v>0</v>
      </c>
      <c r="J4" s="11">
        <v>0</v>
      </c>
    </row>
    <row r="5" spans="1:10" ht="15.75">
      <c r="A5" s="25"/>
      <c r="B5" s="6" t="s">
        <v>9</v>
      </c>
      <c r="C5" s="6">
        <v>29</v>
      </c>
      <c r="D5" s="2">
        <v>0</v>
      </c>
      <c r="E5" s="2">
        <v>31</v>
      </c>
      <c r="F5" s="2">
        <v>0</v>
      </c>
      <c r="G5" s="8">
        <f>1687-H5</f>
        <v>1630</v>
      </c>
      <c r="H5" s="2">
        <v>57</v>
      </c>
      <c r="I5" s="2">
        <v>0</v>
      </c>
      <c r="J5" s="3">
        <v>0</v>
      </c>
    </row>
    <row r="6" spans="1:10" ht="15.75">
      <c r="A6" s="25"/>
      <c r="B6" s="6" t="s">
        <v>11</v>
      </c>
      <c r="C6" s="6">
        <v>36</v>
      </c>
      <c r="D6" s="2">
        <v>0</v>
      </c>
      <c r="E6" s="2">
        <v>6</v>
      </c>
      <c r="F6" s="2">
        <v>0</v>
      </c>
      <c r="G6" s="8">
        <f>241-H6</f>
        <v>226</v>
      </c>
      <c r="H6" s="2">
        <v>15</v>
      </c>
      <c r="I6" s="2">
        <v>0</v>
      </c>
      <c r="J6" s="3">
        <v>0</v>
      </c>
    </row>
    <row r="7" spans="1:10" ht="15.75">
      <c r="A7" s="25"/>
      <c r="B7" s="6" t="s">
        <v>1</v>
      </c>
      <c r="C7" s="7">
        <f>165-D7</f>
        <v>158</v>
      </c>
      <c r="D7" s="2">
        <v>7</v>
      </c>
      <c r="E7" s="2">
        <v>0</v>
      </c>
      <c r="F7" s="2">
        <v>0</v>
      </c>
      <c r="G7" s="8">
        <f>1162-H7</f>
        <v>748</v>
      </c>
      <c r="H7" s="2">
        <v>414</v>
      </c>
      <c r="I7" s="2">
        <v>0</v>
      </c>
      <c r="J7" s="3">
        <v>0</v>
      </c>
    </row>
    <row r="8" spans="1:10" ht="15.75">
      <c r="A8" s="25"/>
      <c r="B8" s="6" t="s">
        <v>2</v>
      </c>
      <c r="C8" s="6">
        <v>8</v>
      </c>
      <c r="D8" s="2">
        <v>0</v>
      </c>
      <c r="E8" s="2">
        <v>0</v>
      </c>
      <c r="F8" s="2">
        <v>0</v>
      </c>
      <c r="G8" s="8">
        <f>104-H8</f>
        <v>102</v>
      </c>
      <c r="H8" s="2">
        <v>2</v>
      </c>
      <c r="I8" s="2">
        <v>0</v>
      </c>
      <c r="J8" s="3">
        <v>0</v>
      </c>
    </row>
    <row r="9" spans="1:10" ht="15.75">
      <c r="A9" s="25"/>
      <c r="B9" s="6" t="s">
        <v>3</v>
      </c>
      <c r="C9" s="6">
        <f>91-D9</f>
        <v>2</v>
      </c>
      <c r="D9" s="2">
        <v>89</v>
      </c>
      <c r="E9" s="2">
        <v>0</v>
      </c>
      <c r="F9" s="2">
        <v>0</v>
      </c>
      <c r="G9" s="8">
        <f>633-H9</f>
        <v>622</v>
      </c>
      <c r="H9" s="2">
        <v>11</v>
      </c>
      <c r="I9" s="2">
        <v>0</v>
      </c>
      <c r="J9" s="3">
        <v>0</v>
      </c>
    </row>
    <row r="10" spans="1:10" ht="15.75">
      <c r="A10" s="25"/>
      <c r="B10" s="6" t="s">
        <v>4</v>
      </c>
      <c r="C10" s="6">
        <f>117-D10</f>
        <v>88</v>
      </c>
      <c r="D10" s="2">
        <v>29</v>
      </c>
      <c r="E10" s="2">
        <v>0</v>
      </c>
      <c r="F10" s="2">
        <v>0</v>
      </c>
      <c r="G10" s="8">
        <f>1528-H10</f>
        <v>1474</v>
      </c>
      <c r="H10" s="2">
        <v>54</v>
      </c>
      <c r="I10" s="2">
        <v>1</v>
      </c>
      <c r="J10" s="3">
        <v>0</v>
      </c>
    </row>
    <row r="11" spans="1:10" ht="15.75">
      <c r="A11" s="25"/>
      <c r="B11" s="6" t="s">
        <v>5</v>
      </c>
      <c r="C11" s="6">
        <v>69</v>
      </c>
      <c r="D11" s="2">
        <v>0</v>
      </c>
      <c r="E11" s="2">
        <v>12</v>
      </c>
      <c r="F11" s="2">
        <v>0</v>
      </c>
      <c r="G11" s="8">
        <f>156-H11</f>
        <v>153</v>
      </c>
      <c r="H11" s="2">
        <v>3</v>
      </c>
      <c r="I11" s="2">
        <v>0</v>
      </c>
      <c r="J11" s="3">
        <v>0</v>
      </c>
    </row>
    <row r="12" spans="1:10" ht="23.25" customHeight="1">
      <c r="A12" s="25"/>
      <c r="B12" s="6" t="s">
        <v>6</v>
      </c>
      <c r="C12" s="6">
        <v>0</v>
      </c>
      <c r="D12" s="2">
        <v>0</v>
      </c>
      <c r="E12" s="2">
        <v>6</v>
      </c>
      <c r="F12" s="2">
        <v>0</v>
      </c>
      <c r="G12" s="8">
        <f>1506-H12</f>
        <v>1506</v>
      </c>
      <c r="H12" s="2">
        <v>0</v>
      </c>
      <c r="I12" s="2">
        <v>0</v>
      </c>
      <c r="J12" s="3">
        <v>0</v>
      </c>
    </row>
    <row r="13" spans="1:10" ht="15.75">
      <c r="A13" s="25"/>
      <c r="B13" s="6" t="s">
        <v>7</v>
      </c>
      <c r="C13" s="6">
        <v>0</v>
      </c>
      <c r="D13" s="2">
        <v>0</v>
      </c>
      <c r="E13" s="2">
        <v>0</v>
      </c>
      <c r="F13" s="2">
        <v>0</v>
      </c>
      <c r="G13" s="8">
        <f>411-H13</f>
        <v>411</v>
      </c>
      <c r="H13" s="2">
        <v>0</v>
      </c>
      <c r="I13" s="2">
        <v>0</v>
      </c>
      <c r="J13" s="3">
        <v>0</v>
      </c>
    </row>
    <row r="14" spans="1:10" ht="15.75">
      <c r="A14" s="25"/>
      <c r="B14" s="6" t="s">
        <v>10</v>
      </c>
      <c r="C14" s="6">
        <f>55-1</f>
        <v>54</v>
      </c>
      <c r="D14" s="2">
        <v>1</v>
      </c>
      <c r="E14" s="2">
        <v>0</v>
      </c>
      <c r="F14" s="2">
        <v>0</v>
      </c>
      <c r="G14" s="8">
        <f>1030-H14</f>
        <v>984</v>
      </c>
      <c r="H14" s="2">
        <v>46</v>
      </c>
      <c r="I14" s="2">
        <v>0</v>
      </c>
      <c r="J14" s="3">
        <v>0</v>
      </c>
    </row>
    <row r="15" spans="1:10" ht="16.5" thickBot="1">
      <c r="A15" s="26"/>
      <c r="B15" s="9" t="s">
        <v>8</v>
      </c>
      <c r="C15" s="9">
        <v>59</v>
      </c>
      <c r="D15" s="4">
        <v>0</v>
      </c>
      <c r="E15" s="4">
        <v>0</v>
      </c>
      <c r="F15" s="4">
        <v>0</v>
      </c>
      <c r="G15" s="10">
        <f>358-H15</f>
        <v>278</v>
      </c>
      <c r="H15" s="4">
        <v>80</v>
      </c>
      <c r="I15" s="4">
        <v>0</v>
      </c>
      <c r="J15" s="5">
        <v>0</v>
      </c>
    </row>
  </sheetData>
  <mergeCells count="8">
    <mergeCell ref="I2:J2"/>
    <mergeCell ref="C1:J1"/>
    <mergeCell ref="A1:A3"/>
    <mergeCell ref="B1:B3"/>
    <mergeCell ref="A4:A15"/>
    <mergeCell ref="C2:D2"/>
    <mergeCell ref="E2:F2"/>
    <mergeCell ref="G2:H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initiale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2025-03-17T06:27:52Z</dcterms:modified>
</cp:coreProperties>
</file>