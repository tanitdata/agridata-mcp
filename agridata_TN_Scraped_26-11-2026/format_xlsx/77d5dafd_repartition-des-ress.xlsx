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URA\Desktop\CRDA Bizerte\"/>
    </mc:Choice>
  </mc:AlternateContent>
  <xr:revisionPtr revIDLastSave="0" documentId="13_ncr:1_{137D183F-C4D5-4332-9ED0-B0566267FA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H14" i="1"/>
  <c r="G14" i="1"/>
  <c r="F14" i="1"/>
  <c r="D14" i="1"/>
  <c r="J13" i="1"/>
  <c r="J12" i="1"/>
  <c r="J11" i="1"/>
  <c r="J10" i="1"/>
  <c r="J9" i="1"/>
  <c r="J8" i="1"/>
  <c r="J7" i="1"/>
  <c r="J6" i="1"/>
  <c r="J5" i="1"/>
  <c r="J4" i="1"/>
  <c r="J3" i="1"/>
  <c r="J2" i="1"/>
  <c r="J14" i="1" l="1"/>
  <c r="J41" i="1" l="1"/>
  <c r="J42" i="1"/>
  <c r="J43" i="1"/>
  <c r="J44" i="1"/>
  <c r="I53" i="1"/>
  <c r="H53" i="1"/>
  <c r="G53" i="1"/>
  <c r="F53" i="1"/>
  <c r="E53" i="1"/>
  <c r="D53" i="1"/>
  <c r="J52" i="1"/>
  <c r="J51" i="1"/>
  <c r="J50" i="1"/>
  <c r="J49" i="1"/>
  <c r="J48" i="1"/>
  <c r="J47" i="1"/>
  <c r="J46" i="1"/>
  <c r="J45" i="1"/>
  <c r="J53" i="1" l="1"/>
</calcChain>
</file>

<file path=xl/sharedStrings.xml><?xml version="1.0" encoding="utf-8"?>
<sst xmlns="http://schemas.openxmlformats.org/spreadsheetml/2006/main" count="211" uniqueCount="118">
  <si>
    <t>بنزرت الشمالية 12211</t>
  </si>
  <si>
    <t>بنزرت الشمالية</t>
  </si>
  <si>
    <t>0.3-2.7</t>
  </si>
  <si>
    <t>وادي القرع 13111</t>
  </si>
  <si>
    <t>بنزرت الجنوبية</t>
  </si>
  <si>
    <t>0.35-2.4</t>
  </si>
  <si>
    <t>وادي قنيش13121</t>
  </si>
  <si>
    <t>العالية</t>
  </si>
  <si>
    <t>وادي قنيش13131</t>
  </si>
  <si>
    <t>منزل جميل</t>
  </si>
  <si>
    <t xml:space="preserve">منزل بورقيبة 13141 </t>
  </si>
  <si>
    <t>منزل بورقيبة</t>
  </si>
  <si>
    <t>وادي سجنان 13211</t>
  </si>
  <si>
    <t>سجنان</t>
  </si>
  <si>
    <t>ماطر 13511</t>
  </si>
  <si>
    <t>ماطر</t>
  </si>
  <si>
    <t>0.5-2.8</t>
  </si>
  <si>
    <t>ماطر 13521</t>
  </si>
  <si>
    <t>جومين الأعلى 13531</t>
  </si>
  <si>
    <t>جومين</t>
  </si>
  <si>
    <t>وادي الطين 13621</t>
  </si>
  <si>
    <t>0.5- 0.9</t>
  </si>
  <si>
    <t>وادي مجردة 26011</t>
  </si>
  <si>
    <t>أوتيك</t>
  </si>
  <si>
    <t>0.8-3.3</t>
  </si>
  <si>
    <t>وادي مجردة 26021</t>
  </si>
  <si>
    <t>*11,7</t>
  </si>
  <si>
    <t>1.2- 2.7</t>
  </si>
  <si>
    <t>مجموع الولاية</t>
  </si>
  <si>
    <t>0,3 - 2,7</t>
  </si>
  <si>
    <t>0,35 - 2,4</t>
  </si>
  <si>
    <t>0,3 - 3,45</t>
  </si>
  <si>
    <t>0,35 - 2,3</t>
  </si>
  <si>
    <t>0,8 - 2,5</t>
  </si>
  <si>
    <t>0,4 - 3,15</t>
  </si>
  <si>
    <t>0,5 - 2,8</t>
  </si>
  <si>
    <t>0,3 - 1,5</t>
  </si>
  <si>
    <t>0,3 - 1,6</t>
  </si>
  <si>
    <t>0,5 - 0,9</t>
  </si>
  <si>
    <t>0,8 - 3,3</t>
  </si>
  <si>
    <t>وادي مجردة 26021*</t>
  </si>
  <si>
    <t>1,2 - 2,7</t>
  </si>
  <si>
    <r>
      <rPr>
        <b/>
        <sz val="11"/>
        <rFont val="Arial"/>
        <family val="2"/>
      </rPr>
      <t>*</t>
    </r>
    <r>
      <rPr>
        <sz val="11"/>
        <rFont val="Arial"/>
        <family val="2"/>
      </rPr>
      <t>: المائدة المائية وادي مجردة 26021 مشتركة بين ولايتي بنزرت وأريانة.</t>
    </r>
  </si>
  <si>
    <t>Nom de la nappa</t>
  </si>
  <si>
    <t>Délégation</t>
  </si>
  <si>
    <t>Nombre de puits</t>
  </si>
  <si>
    <t>Ressources (million m3)</t>
  </si>
  <si>
    <t>Débit (litre/seconde)</t>
  </si>
  <si>
    <t>Exploitation pour l'eau potable (millionm3)</t>
  </si>
  <si>
    <t>Exploitation pour l'agriculture (million m3)</t>
  </si>
  <si>
    <t>Exploitation pour l'industrie (million m3)</t>
  </si>
  <si>
    <t>Exploitation Total (million m3)</t>
  </si>
  <si>
    <t>Salinité (g/litre)</t>
  </si>
  <si>
    <t>Année</t>
  </si>
  <si>
    <t>0.20</t>
  </si>
  <si>
    <t>0.01</t>
  </si>
  <si>
    <t>0.018</t>
  </si>
  <si>
    <t>0.23</t>
  </si>
  <si>
    <t>7.4</t>
  </si>
  <si>
    <t>0.26</t>
  </si>
  <si>
    <t>0.38</t>
  </si>
  <si>
    <t>0.63</t>
  </si>
  <si>
    <t>0.45</t>
  </si>
  <si>
    <t>5.96</t>
  </si>
  <si>
    <t>0.17</t>
  </si>
  <si>
    <t>6.56</t>
  </si>
  <si>
    <t>0.3-3.45</t>
  </si>
  <si>
    <t>208.5</t>
  </si>
  <si>
    <t>2.42</t>
  </si>
  <si>
    <t>0.55</t>
  </si>
  <si>
    <t>2.97</t>
  </si>
  <si>
    <t>0.35-2.3</t>
  </si>
  <si>
    <t>93.9</t>
  </si>
  <si>
    <t>0.14</t>
  </si>
  <si>
    <t>1.84</t>
  </si>
  <si>
    <t>0.16</t>
  </si>
  <si>
    <t>1.14</t>
  </si>
  <si>
    <t>0.8-2.5</t>
  </si>
  <si>
    <t>65.6</t>
  </si>
  <si>
    <t>0.04</t>
  </si>
  <si>
    <t>0.27</t>
  </si>
  <si>
    <t>0.4-3.15</t>
  </si>
  <si>
    <t>8.7</t>
  </si>
  <si>
    <t>0.66</t>
  </si>
  <si>
    <t>0.92</t>
  </si>
  <si>
    <t>0.012</t>
  </si>
  <si>
    <t>1.59</t>
  </si>
  <si>
    <t>50.3</t>
  </si>
  <si>
    <t>0.19</t>
  </si>
  <si>
    <t>3.14</t>
  </si>
  <si>
    <t>0.3-1.5</t>
  </si>
  <si>
    <t>1.57</t>
  </si>
  <si>
    <t>0.30</t>
  </si>
  <si>
    <t>1.87</t>
  </si>
  <si>
    <t>0.3-1.6</t>
  </si>
  <si>
    <t>59.2</t>
  </si>
  <si>
    <t>0.02</t>
  </si>
  <si>
    <t>0.13</t>
  </si>
  <si>
    <t>0.15</t>
  </si>
  <si>
    <t>4.83</t>
  </si>
  <si>
    <t>1.25</t>
  </si>
  <si>
    <t>1.34</t>
  </si>
  <si>
    <t>42.4</t>
  </si>
  <si>
    <t>1.24</t>
  </si>
  <si>
    <t>39.2</t>
  </si>
  <si>
    <t>8.9</t>
  </si>
  <si>
    <t>0,3-2,7</t>
  </si>
  <si>
    <t>0,35-2,4</t>
  </si>
  <si>
    <t>0,4-3,45</t>
  </si>
  <si>
    <t>0,35-3,15</t>
  </si>
  <si>
    <t>0,8-2,1</t>
  </si>
  <si>
    <t>0,4-0,7</t>
  </si>
  <si>
    <t>0,5-2,8</t>
  </si>
  <si>
    <t>0,3-1,3</t>
  </si>
  <si>
    <t>0,3-1,1</t>
  </si>
  <si>
    <t>0,5- 0,9</t>
  </si>
  <si>
    <t>0,8-3,3</t>
  </si>
  <si>
    <t>1,2- 2,7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</si>
</sst>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7" formatCode="_-* #,##0.00\ &quot;€&quot;_-;\-* #,##0.00\ &quot;€&quot;_-;_-* &quot;-&quot;??\ &quot;€&quot;_-;_-@_-"/>
    <numFmt numFmtId="169" formatCode="_-* #,##0.00\ _€_-;\-* #,##0.00\ _€_-;_-* &quot;-&quot;??\ _€_-;_-@_-"/>
    <numFmt numFmtId="171" formatCode="0.000"/>
    <numFmt numFmtId="172" formatCode="_-* #,##0.00\ _F_-;\-* #,##0.00\ _F_-;_-* &quot;-&quot;??\ _F_-;_-@_-"/>
  </numFmts>
  <fonts count="13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charset val="178"/>
    </font>
    <font>
      <sz val="11"/>
      <color theme="1"/>
      <name val="Calibri"/>
      <family val="2"/>
      <charset val="178"/>
      <scheme val="minor"/>
    </font>
    <font>
      <sz val="11"/>
      <color indexed="9"/>
      <name val="Myriad Pro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1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367">
    <xf numFmtId="0" fontId="0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>
      <alignment vertical="top"/>
      <protection locked="0"/>
    </xf>
    <xf numFmtId="16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8" fillId="3" borderId="0">
      <alignment horizontal="center" vertical="center" wrapText="1"/>
    </xf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right" vertical="center" indent="1" readingOrder="2"/>
    </xf>
    <xf numFmtId="0" fontId="0" fillId="0" borderId="0" xfId="0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/>
    <xf numFmtId="0" fontId="10" fillId="0" borderId="2" xfId="0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1" fontId="11" fillId="0" borderId="1" xfId="0" applyNumberFormat="1" applyFont="1" applyBorder="1" applyAlignment="1">
      <alignment horizontal="right" vertical="center" indent="1"/>
    </xf>
    <xf numFmtId="0" fontId="1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0" fillId="0" borderId="1" xfId="0" applyFont="1" applyBorder="1"/>
    <xf numFmtId="0" fontId="12" fillId="0" borderId="1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readingOrder="2"/>
    </xf>
    <xf numFmtId="0" fontId="12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</cellXfs>
  <cellStyles count="1367">
    <cellStyle name="Euro" xfId="1" xr:uid="{E6F32EE2-0B50-4506-B763-9CAEF5AAACE6}"/>
    <cellStyle name="Euro 2" xfId="2" xr:uid="{EDF6944E-A7F3-4F4E-B186-620FDE890FDA}"/>
    <cellStyle name="Euro 3" xfId="3" xr:uid="{7B21C2E0-38BC-49EE-874E-79AA4377E6CA}"/>
    <cellStyle name="Euro 4" xfId="4" xr:uid="{B5454530-DC5E-4133-8041-6437B647C1BF}"/>
    <cellStyle name="Euro 5" xfId="5" xr:uid="{D79E1D90-5801-4A7D-8864-68E80F97D9CC}"/>
    <cellStyle name="Euro 6" xfId="6" xr:uid="{B447ECC6-D7E2-4963-8FF8-CE3FA15FE7B6}"/>
    <cellStyle name="Euro 7" xfId="7" xr:uid="{421E47DA-B96D-4EED-AB23-B806C6B8BE97}"/>
    <cellStyle name="Excel Built-in Normal" xfId="8" xr:uid="{848A19DA-8CDB-4F42-8115-67C78BFC9291}"/>
    <cellStyle name="Lien hypertexte 2" xfId="9" xr:uid="{45D0FDC5-0B3D-4DC9-947E-E67450224287}"/>
    <cellStyle name="Milliers 10" xfId="10" xr:uid="{79E97AC3-E29C-46AC-B3D6-72DD58C5F4D8}"/>
    <cellStyle name="Milliers 10 2" xfId="11" xr:uid="{F1B96BAE-BEA0-46B9-822D-0911E50B4D1D}"/>
    <cellStyle name="Milliers 10 3" xfId="12" xr:uid="{F32467CA-4C38-4E34-8EB6-CB47B8669BDD}"/>
    <cellStyle name="Milliers 2" xfId="13" xr:uid="{DDE6BDAF-F4B6-47DF-8A74-00D9B09253AA}"/>
    <cellStyle name="Milliers 2 10" xfId="14" xr:uid="{74722724-6FC7-4F58-AB4C-986669B5F075}"/>
    <cellStyle name="Milliers 2 11" xfId="15" xr:uid="{6F61C87C-E4F8-4453-BE9A-8D55B04205FB}"/>
    <cellStyle name="Milliers 2 12" xfId="16" xr:uid="{1870A5EE-5AC3-4B2B-B56A-F535653BA3CA}"/>
    <cellStyle name="Milliers 2 13" xfId="17" xr:uid="{CEDA693F-247D-492D-9869-D768BAF33302}"/>
    <cellStyle name="Milliers 2 14" xfId="18" xr:uid="{019C18C1-5A17-4F06-8140-51995378F891}"/>
    <cellStyle name="Milliers 2 15" xfId="19" xr:uid="{54419543-18EE-4AD8-9253-1CA6F125A189}"/>
    <cellStyle name="Milliers 2 16" xfId="20" xr:uid="{094F78D8-92EE-49EC-87CD-04BB093CFFC7}"/>
    <cellStyle name="Milliers 2 17" xfId="21" xr:uid="{0A2C1F0E-FF95-46AE-A281-25632A4099BE}"/>
    <cellStyle name="Milliers 2 18" xfId="22" xr:uid="{72149638-A228-4EB8-95DB-2F9052062AD1}"/>
    <cellStyle name="Milliers 2 19" xfId="23" xr:uid="{D9A6962E-1E50-44DB-BFA5-7ACE30D89C1F}"/>
    <cellStyle name="Milliers 2 2" xfId="24" xr:uid="{128A90FD-D1E0-4B3F-A208-506112FD5F7E}"/>
    <cellStyle name="Milliers 2 2 10" xfId="25" xr:uid="{31B6D6A9-E267-4FBC-8C92-316E527DAA94}"/>
    <cellStyle name="Milliers 2 2 10 2" xfId="26" xr:uid="{4516B12E-170B-4C41-9F95-80E644623BF5}"/>
    <cellStyle name="Milliers 2 2 10 2 2" xfId="27" xr:uid="{0578F207-C7FB-4B5E-9B8C-09F2D32A418D}"/>
    <cellStyle name="Milliers 2 2 10 3" xfId="28" xr:uid="{67816C0E-6D9B-4D32-BF22-B22859BBC707}"/>
    <cellStyle name="Milliers 2 2 11" xfId="29" xr:uid="{A9349D66-8DED-490A-8743-0E8FA480F6AA}"/>
    <cellStyle name="Milliers 2 2 12" xfId="30" xr:uid="{F979E17F-7F67-4BB9-B877-460806AE15E8}"/>
    <cellStyle name="Milliers 2 2 13" xfId="31" xr:uid="{C0C0CA85-C55A-40E0-9919-A53F947C8060}"/>
    <cellStyle name="Milliers 2 2 14" xfId="32" xr:uid="{726D21CF-18E7-4E82-9FC8-8C0F792BCCAF}"/>
    <cellStyle name="Milliers 2 2 2" xfId="33" xr:uid="{668B570E-8DA7-45F3-8EB8-20214E7C59F3}"/>
    <cellStyle name="Milliers 2 2 3" xfId="34" xr:uid="{F8076836-5ABE-4EB3-A5FC-130F37BDA8C2}"/>
    <cellStyle name="Milliers 2 2 4" xfId="35" xr:uid="{3E6766E8-BEC6-4A3B-BE8F-ED070ACFF281}"/>
    <cellStyle name="Milliers 2 2 5" xfId="36" xr:uid="{BCCC7F9F-4FBC-4C35-A54F-F3333CE84E41}"/>
    <cellStyle name="Milliers 2 2 6" xfId="37" xr:uid="{38787DEB-1493-433C-9A3B-54EE3ACDB903}"/>
    <cellStyle name="Milliers 2 2 7" xfId="38" xr:uid="{A118B681-3FE7-4155-9D3A-665DC543867F}"/>
    <cellStyle name="Milliers 2 2 8" xfId="39" xr:uid="{7187ECB2-F137-4510-9A82-541EE1E25F6D}"/>
    <cellStyle name="Milliers 2 2 9" xfId="40" xr:uid="{AC615D46-E400-4B23-8CD3-826E022EAAEF}"/>
    <cellStyle name="Milliers 2 20" xfId="41" xr:uid="{E759564B-660E-4CB6-9648-3127C3B904CF}"/>
    <cellStyle name="Milliers 2 20 2" xfId="42" xr:uid="{F9E71623-3B70-4ABF-AC1E-32F2DF650AB6}"/>
    <cellStyle name="Milliers 2 20 3" xfId="43" xr:uid="{1927579C-5B9E-4EFC-9AAC-87AFE2D5AE6C}"/>
    <cellStyle name="Milliers 2 21" xfId="44" xr:uid="{D0718930-B272-4044-8E7D-E96A91C92E92}"/>
    <cellStyle name="Milliers 2 22" xfId="45" xr:uid="{BFC07BA4-1418-426E-9C49-E08E8EFDBD9E}"/>
    <cellStyle name="Milliers 2 23" xfId="46" xr:uid="{B86F18EC-FF1A-427C-A5A4-C0E25D7DD9C3}"/>
    <cellStyle name="Milliers 2 24" xfId="47" xr:uid="{90C650A7-BABD-41A0-A9E9-79E750E9FF38}"/>
    <cellStyle name="Milliers 2 25" xfId="48" xr:uid="{F031850C-E4A7-447C-AE23-AA0330D6ABFC}"/>
    <cellStyle name="Milliers 2 26" xfId="49" xr:uid="{15DC0377-8821-423C-8C09-AE048A1635E5}"/>
    <cellStyle name="Milliers 2 27" xfId="50" xr:uid="{1B289A79-E770-4AD2-9164-F5FC095A40A0}"/>
    <cellStyle name="Milliers 2 28" xfId="51" xr:uid="{C35C3FEE-96AD-4E40-A9D0-CEB556996EE9}"/>
    <cellStyle name="Milliers 2 29" xfId="52" xr:uid="{45BD1E13-C88E-44C0-B2E9-28BD80158ED3}"/>
    <cellStyle name="Milliers 2 3" xfId="53" xr:uid="{ADABAC0F-4890-44D8-876F-626E1567195E}"/>
    <cellStyle name="Milliers 2 3 2" xfId="54" xr:uid="{99B8C60C-7623-4B72-AB8F-C05779DC76DB}"/>
    <cellStyle name="Milliers 2 3 3" xfId="55" xr:uid="{6D660E1D-CFD8-4CA4-B08B-A08FE76B5F5E}"/>
    <cellStyle name="Milliers 2 30" xfId="56" xr:uid="{701AAC01-EE9B-48B2-B2DF-CF0CDDD644D7}"/>
    <cellStyle name="Milliers 2 31" xfId="57" xr:uid="{79592863-FEDD-438A-AA3F-A8CC9B7DD637}"/>
    <cellStyle name="Milliers 2 32" xfId="58" xr:uid="{F64F4BD3-C80F-4F87-83F0-53A4CFB0C6AA}"/>
    <cellStyle name="Milliers 2 33" xfId="59" xr:uid="{B83D63DA-5E68-4163-92D8-6583BEE2A8EA}"/>
    <cellStyle name="Milliers 2 34" xfId="60" xr:uid="{08923AC9-10A0-462E-818B-E1206F7A7CB5}"/>
    <cellStyle name="Milliers 2 35" xfId="61" xr:uid="{928F3C96-691C-47F6-92C7-FCEE890BEB97}"/>
    <cellStyle name="Milliers 2 36" xfId="62" xr:uid="{A98D7F1D-5ABA-4643-91AA-E9557B52CA7B}"/>
    <cellStyle name="Milliers 2 37" xfId="63" xr:uid="{FE876E52-D86C-49B1-A1A3-8DB8421120EE}"/>
    <cellStyle name="Milliers 2 38" xfId="64" xr:uid="{910045DF-2AAD-4858-9A77-989D96DD7158}"/>
    <cellStyle name="Milliers 2 39" xfId="65" xr:uid="{54FBD8BA-D7A4-4DBD-AFD9-D317A4405F5B}"/>
    <cellStyle name="Milliers 2 4" xfId="66" xr:uid="{7F6C21A3-0A4D-41BB-8695-17E927C04FCC}"/>
    <cellStyle name="Milliers 2 4 2" xfId="67" xr:uid="{8664405A-A8A0-467D-BF08-99678602D008}"/>
    <cellStyle name="Milliers 2 4 3" xfId="68" xr:uid="{45A4A7C8-2EFA-47DD-8896-91050634C650}"/>
    <cellStyle name="Milliers 2 40" xfId="69" xr:uid="{73432F1F-34C5-4DF1-B192-5D3F8E53ECA0}"/>
    <cellStyle name="Milliers 2 41" xfId="70" xr:uid="{3D00DAAB-05B2-4822-AF67-62E53521007F}"/>
    <cellStyle name="Milliers 2 41 2" xfId="71" xr:uid="{791E36A7-5626-4AAB-8F09-090CB7E8D6A9}"/>
    <cellStyle name="Milliers 2 41 3" xfId="72" xr:uid="{F0D635F9-DC48-4488-A9A1-133BD7124EF4}"/>
    <cellStyle name="Milliers 2 42" xfId="73" xr:uid="{AEA54660-D5C8-49C0-987E-C28AAB6B9447}"/>
    <cellStyle name="Milliers 2 42 2" xfId="74" xr:uid="{381075EE-33E3-456F-B7A5-F9056B33F28E}"/>
    <cellStyle name="Milliers 2 42 3" xfId="75" xr:uid="{27DF9C0F-9461-473E-8BF0-24E8CD46CD4F}"/>
    <cellStyle name="Milliers 2 43" xfId="76" xr:uid="{8259B73C-8E1D-4641-9B2E-FFFE0809A8C9}"/>
    <cellStyle name="Milliers 2 43 2" xfId="77" xr:uid="{DCA23EB9-19BD-4216-A9BC-864EA4F32D54}"/>
    <cellStyle name="Milliers 2 43 3" xfId="78" xr:uid="{7B1928DD-57BB-493F-89CB-404DB2562AC0}"/>
    <cellStyle name="Milliers 2 44" xfId="79" xr:uid="{A253D11E-CA90-4319-A794-09656F7A575C}"/>
    <cellStyle name="Milliers 2 44 2" xfId="80" xr:uid="{4E114291-22DA-4EE3-AF9B-168680300208}"/>
    <cellStyle name="Milliers 2 44 3" xfId="81" xr:uid="{4A0884D5-BE40-4AAE-8761-A0E7AB000125}"/>
    <cellStyle name="Milliers 2 45" xfId="82" xr:uid="{3FE64423-F7FA-4925-A929-5129926F625D}"/>
    <cellStyle name="Milliers 2 45 2" xfId="83" xr:uid="{543D6AF1-4ABA-4651-B2BD-F7009015ED45}"/>
    <cellStyle name="Milliers 2 45 3" xfId="84" xr:uid="{4C5EDF6C-6158-4236-BEBE-A1EAB4529593}"/>
    <cellStyle name="Milliers 2 46" xfId="85" xr:uid="{594A14CD-76C3-4F83-AD39-7F18178DACE0}"/>
    <cellStyle name="Milliers 2 46 2" xfId="86" xr:uid="{2D9B7E1E-20EF-4A91-8B30-25F75450820B}"/>
    <cellStyle name="Milliers 2 46 3" xfId="87" xr:uid="{009426DE-40A1-4D6F-9037-57070EDC429B}"/>
    <cellStyle name="Milliers 2 47" xfId="88" xr:uid="{14C5FFB5-1EB4-41D5-AE6D-CD75140B9469}"/>
    <cellStyle name="Milliers 2 47 2" xfId="89" xr:uid="{66461088-A421-40DB-9167-6F218975DEE3}"/>
    <cellStyle name="Milliers 2 47 3" xfId="90" xr:uid="{EA45FD49-45BA-4181-8C51-A193B73B21DD}"/>
    <cellStyle name="Milliers 2 48" xfId="91" xr:uid="{BBC7C8CB-F379-4AF0-A9A8-1BB90EF32FCE}"/>
    <cellStyle name="Milliers 2 49" xfId="92" xr:uid="{C72A9D34-B12C-4042-A3A4-CFA1ED723211}"/>
    <cellStyle name="Milliers 2 5" xfId="93" xr:uid="{4A5E6E20-6667-4ACF-9832-B1C1A8840D49}"/>
    <cellStyle name="Milliers 2 5 2" xfId="94" xr:uid="{CBEAD10F-AE10-41C2-B104-C46068DBD81C}"/>
    <cellStyle name="Milliers 2 5 3" xfId="95" xr:uid="{90BD6ABA-0A35-444F-A997-09A400C370F6}"/>
    <cellStyle name="Milliers 2 50" xfId="96" xr:uid="{8903F911-6EE7-4892-95DF-DEEE7E6DB5C6}"/>
    <cellStyle name="Milliers 2 51" xfId="97" xr:uid="{102BF978-FBFD-4F63-8C2B-1B4EF35E0C48}"/>
    <cellStyle name="Milliers 2 52" xfId="98" xr:uid="{A5659048-0911-480F-8952-19CF96B444BA}"/>
    <cellStyle name="Milliers 2 53" xfId="99" xr:uid="{C2308F14-8BF1-4132-AFE2-D06A99F3092F}"/>
    <cellStyle name="Milliers 2 54" xfId="100" xr:uid="{6B76D7E3-0075-4330-9531-00C81DC7E6B7}"/>
    <cellStyle name="Milliers 2 6" xfId="101" xr:uid="{CB07C3F4-3BF3-45FB-A51E-906D21E029B2}"/>
    <cellStyle name="Milliers 2 7" xfId="102" xr:uid="{864C7284-FBDF-4069-AADA-7FF9A7F8B837}"/>
    <cellStyle name="Milliers 2 8" xfId="103" xr:uid="{74D7597B-4F3C-486B-8041-38DD39D632FC}"/>
    <cellStyle name="Milliers 2 9" xfId="104" xr:uid="{B7531D70-ED25-4D89-A4FF-3E1159E0011F}"/>
    <cellStyle name="Milliers 3" xfId="105" xr:uid="{364507D1-4822-429A-B210-4BBFCE3AE711}"/>
    <cellStyle name="Milliers 3 10" xfId="106" xr:uid="{29CDF9F7-B733-4C74-B7DE-B5AE4D8AB115}"/>
    <cellStyle name="Milliers 3 11" xfId="107" xr:uid="{617DF114-12F2-4095-8903-550728E938FF}"/>
    <cellStyle name="Milliers 3 12" xfId="108" xr:uid="{DE20A6F5-D262-4075-BD37-9B1A8C73443D}"/>
    <cellStyle name="Milliers 3 13" xfId="109" xr:uid="{B6FCCD4C-0606-463C-BEBF-AD7049022026}"/>
    <cellStyle name="Milliers 3 14" xfId="110" xr:uid="{A8C8A42C-12F3-4D6C-A0D0-FDC04D93CA4D}"/>
    <cellStyle name="Milliers 3 15" xfId="111" xr:uid="{291A4875-FEE6-4704-8984-2390380029F6}"/>
    <cellStyle name="Milliers 3 16" xfId="112" xr:uid="{E56723B3-814A-4F06-8792-B526F3AE5576}"/>
    <cellStyle name="Milliers 3 17" xfId="113" xr:uid="{A51D914A-FCF0-4DC7-8330-5D93A528E0F6}"/>
    <cellStyle name="Milliers 3 18" xfId="114" xr:uid="{68713A39-90D4-43C1-8DC7-6712CF1D96C3}"/>
    <cellStyle name="Milliers 3 19" xfId="115" xr:uid="{24BFE696-F754-44E7-ADFB-FAFA45E95539}"/>
    <cellStyle name="Milliers 3 2" xfId="116" xr:uid="{DCDBC7F4-7478-4546-A30E-900EAF081471}"/>
    <cellStyle name="Milliers 3 20" xfId="117" xr:uid="{025371AD-071C-4CA6-A6BE-6FD248A437AD}"/>
    <cellStyle name="Milliers 3 21" xfId="118" xr:uid="{4AD3B4E0-406F-4EBE-8252-3042F655854E}"/>
    <cellStyle name="Milliers 3 22" xfId="119" xr:uid="{CD032586-2EAA-4AA1-A43E-DB68DD83E8DA}"/>
    <cellStyle name="Milliers 3 22 2" xfId="120" xr:uid="{3EF4F7DF-EACE-4467-B094-2962FF5574DA}"/>
    <cellStyle name="Milliers 3 22 3" xfId="121" xr:uid="{9E2381D2-24C6-4683-B82C-BD2E67A3981A}"/>
    <cellStyle name="Milliers 3 22 4" xfId="122" xr:uid="{BF104015-920F-4320-BCCA-F100FAC6E319}"/>
    <cellStyle name="Milliers 3 23" xfId="123" xr:uid="{1E126490-13D3-40BA-A6E9-F36C13E825F7}"/>
    <cellStyle name="Milliers 3 24" xfId="124" xr:uid="{8FA576DF-1090-4BBF-BE19-69F91DF06E3C}"/>
    <cellStyle name="Milliers 3 25" xfId="125" xr:uid="{5733FAFD-3BED-42B5-8C86-4014D6C6F08D}"/>
    <cellStyle name="Milliers 3 26" xfId="126" xr:uid="{C70C2569-D14D-4517-8523-6C71C2E17AE6}"/>
    <cellStyle name="Milliers 3 27" xfId="127" xr:uid="{611E3636-2864-4913-A1DC-01F89319D53E}"/>
    <cellStyle name="Milliers 3 28" xfId="128" xr:uid="{96D1DF59-2EEF-41E8-B0DD-3051F56F54F6}"/>
    <cellStyle name="Milliers 3 29" xfId="129" xr:uid="{EB33C447-B01E-429B-BEF2-C0DD788ECE6C}"/>
    <cellStyle name="Milliers 3 3" xfId="130" xr:uid="{F2AE392B-8272-40E4-B086-15D5EB68FF18}"/>
    <cellStyle name="Milliers 3 30" xfId="131" xr:uid="{E648F200-61A0-4E2F-A22F-61D52FEA88D3}"/>
    <cellStyle name="Milliers 3 31" xfId="132" xr:uid="{98308365-5AB4-4DD6-B3F9-8590B3699003}"/>
    <cellStyle name="Milliers 3 32" xfId="133" xr:uid="{38AF3F88-4138-4C52-A299-E5E68D83C934}"/>
    <cellStyle name="Milliers 3 33" xfId="134" xr:uid="{3F40A708-84E4-4AFC-8E51-F797743060FD}"/>
    <cellStyle name="Milliers 3 34" xfId="135" xr:uid="{596F7857-0B3E-4E12-8225-355E00B05F90}"/>
    <cellStyle name="Milliers 3 35" xfId="136" xr:uid="{0E646337-30B7-4F02-BD48-52BF9F818B54}"/>
    <cellStyle name="Milliers 3 36" xfId="137" xr:uid="{F7B2E946-FFBA-4238-9572-CAD75D78EB37}"/>
    <cellStyle name="Milliers 3 37" xfId="138" xr:uid="{FD90FFC2-1DC1-46D1-89E4-0CC6C2109C2C}"/>
    <cellStyle name="Milliers 3 38" xfId="139" xr:uid="{38A3894A-69FB-4298-86DC-CF6ED5AC388D}"/>
    <cellStyle name="Milliers 3 39" xfId="140" xr:uid="{65FABCA3-CE12-4098-B9DD-CF2A2011EE16}"/>
    <cellStyle name="Milliers 3 4" xfId="141" xr:uid="{36F84674-8662-4973-9FAF-773BD760299B}"/>
    <cellStyle name="Milliers 3 40" xfId="142" xr:uid="{E70A4DFC-BBCB-439B-AF2D-3870FD7AB429}"/>
    <cellStyle name="Milliers 3 40 2" xfId="143" xr:uid="{6F8A27E1-E50C-419C-AD1F-E3993945CFF4}"/>
    <cellStyle name="Milliers 3 40 3" xfId="144" xr:uid="{A8649383-E522-46A4-9462-9DFE68864D77}"/>
    <cellStyle name="Milliers 3 41" xfId="145" xr:uid="{DF54832C-D9B2-4F52-9F8C-D09AECDF14AB}"/>
    <cellStyle name="Milliers 3 42" xfId="146" xr:uid="{E7AFD780-1B45-49B6-A254-B483FEFCCA30}"/>
    <cellStyle name="Milliers 3 43" xfId="147" xr:uid="{78BB2EC6-6E75-487F-95AF-BD3944BD1EEA}"/>
    <cellStyle name="Milliers 3 44" xfId="148" xr:uid="{1959CB82-E937-4EF3-B583-0493D3B6DF5B}"/>
    <cellStyle name="Milliers 3 45" xfId="149" xr:uid="{2B69288A-95A3-433B-9F90-24CDFDB0DB05}"/>
    <cellStyle name="Milliers 3 46" xfId="150" xr:uid="{8215FAC4-82B8-4C79-9EB0-7EF589438CA4}"/>
    <cellStyle name="Milliers 3 47" xfId="151" xr:uid="{9C7B414F-CE8E-43AA-8EF2-38F8E59F616E}"/>
    <cellStyle name="Milliers 3 48" xfId="152" xr:uid="{D3D1458A-3AF9-4343-85F5-DC287DC6F712}"/>
    <cellStyle name="Milliers 3 49" xfId="153" xr:uid="{28903CBA-3D87-445B-B723-7F1FFD7398D0}"/>
    <cellStyle name="Milliers 3 5" xfId="154" xr:uid="{77D3843B-8696-41A6-868F-01D40866A198}"/>
    <cellStyle name="Milliers 3 50" xfId="155" xr:uid="{585D31FD-14F1-4608-8034-69C952CF524E}"/>
    <cellStyle name="Milliers 3 51" xfId="156" xr:uid="{4874E60F-6B5E-4BB3-BEA4-3626ACB25011}"/>
    <cellStyle name="Milliers 3 52" xfId="157" xr:uid="{14099E2C-0402-4E5F-9C87-C6D3C121003B}"/>
    <cellStyle name="Milliers 3 53" xfId="158" xr:uid="{A2ECEEC7-95AD-4505-8648-21E9F38371CA}"/>
    <cellStyle name="Milliers 3 54" xfId="159" xr:uid="{59DE9B9E-6296-47F7-9023-0B336F77896D}"/>
    <cellStyle name="Milliers 3 55" xfId="160" xr:uid="{D2C06AF4-A95E-4858-97E5-AB055923B712}"/>
    <cellStyle name="Milliers 3 6" xfId="161" xr:uid="{4965F788-3873-450C-B15E-3410A218142B}"/>
    <cellStyle name="Milliers 3 7" xfId="162" xr:uid="{397E16FE-66F5-42DD-BDF3-6A5F1A583BB0}"/>
    <cellStyle name="Milliers 3 8" xfId="163" xr:uid="{509D691B-FF7E-41CF-B8B6-2095D2E9E57A}"/>
    <cellStyle name="Milliers 3 9" xfId="164" xr:uid="{776812C5-38B7-40EE-9276-0D08A04FB0E3}"/>
    <cellStyle name="Milliers 4" xfId="165" xr:uid="{27EB79FE-4FB8-442A-9489-26D47F580233}"/>
    <cellStyle name="Milliers 4 2" xfId="166" xr:uid="{0D8BEB82-4E1A-49AE-A723-B449974EEC77}"/>
    <cellStyle name="Milliers 4 2 2" xfId="167" xr:uid="{832489EE-5521-402E-8B35-A059AC87A705}"/>
    <cellStyle name="Milliers 4 2 3" xfId="168" xr:uid="{3DB23C31-BF3B-425D-BECD-2E54DEA5D155}"/>
    <cellStyle name="Milliers 5" xfId="169" xr:uid="{D2479F9E-BB7A-45F9-AA1A-052C7AA9732A}"/>
    <cellStyle name="Milliers 5 2" xfId="170" xr:uid="{5332B0F6-F388-4FA9-9118-404677FFA9A0}"/>
    <cellStyle name="Milliers 5 3" xfId="171" xr:uid="{338ED57B-FDBB-49B2-B7C0-8E64CFBEDD5E}"/>
    <cellStyle name="Milliers 5 4" xfId="172" xr:uid="{78B5F3B8-1E7E-4150-8079-418BB8816A7E}"/>
    <cellStyle name="Milliers 6" xfId="173" xr:uid="{0E3BC386-97BF-427A-B950-A96E916E4F40}"/>
    <cellStyle name="Milliers 7" xfId="174" xr:uid="{058F93D5-5DE3-44FA-A2B5-5BAD5EE2A0A7}"/>
    <cellStyle name="Milliers 7 10" xfId="175" xr:uid="{9647DA14-8D26-4E61-8B86-BE5BC4D13227}"/>
    <cellStyle name="Milliers 7 10 2" xfId="176" xr:uid="{BA951625-713F-4085-B50B-79DCDCD2FAD7}"/>
    <cellStyle name="Milliers 7 10 2 2" xfId="177" xr:uid="{D70EA46F-A1BB-47A4-9883-1EA904A4BBC1}"/>
    <cellStyle name="Milliers 7 10 3" xfId="178" xr:uid="{83E78264-9BB2-4D27-9475-FD28F2E5F983}"/>
    <cellStyle name="Milliers 7 11" xfId="179" xr:uid="{3873D496-5F63-46B1-BDD2-BD9B08D95E52}"/>
    <cellStyle name="Milliers 7 11 2" xfId="180" xr:uid="{CE0ADF83-4DC5-4EEE-B3F1-F76E463CC503}"/>
    <cellStyle name="Milliers 7 11 2 2" xfId="181" xr:uid="{EFE8F99D-90E0-46CA-857F-0A6077CEDC57}"/>
    <cellStyle name="Milliers 7 11 3" xfId="182" xr:uid="{8EFA6EC4-C43A-480A-80C7-4196A45A17D9}"/>
    <cellStyle name="Milliers 7 12" xfId="183" xr:uid="{644C1F2C-4236-494C-A11E-8FAD617E57D0}"/>
    <cellStyle name="Milliers 7 12 2" xfId="184" xr:uid="{F7CC8BF4-016D-4752-91C2-0AE6F71DFF34}"/>
    <cellStyle name="Milliers 7 12 2 2" xfId="185" xr:uid="{184181D4-6D7C-4E85-A3CB-8FDA0DF5F5FC}"/>
    <cellStyle name="Milliers 7 12 3" xfId="186" xr:uid="{F0DAD86D-DA3C-4061-965E-58A1FD3F1B02}"/>
    <cellStyle name="Milliers 7 13" xfId="187" xr:uid="{DF55BCA8-FC69-431C-895D-D85DD3C38676}"/>
    <cellStyle name="Milliers 7 13 2" xfId="188" xr:uid="{2FDB0CCA-23BD-4A14-8F9B-DBD72B5EB4FD}"/>
    <cellStyle name="Milliers 7 13 2 2" xfId="189" xr:uid="{2934108D-7C44-4665-B661-779F1DAC1651}"/>
    <cellStyle name="Milliers 7 13 3" xfId="190" xr:uid="{E61C877F-32D3-48B1-AE7E-6E377E6C4030}"/>
    <cellStyle name="Milliers 7 14" xfId="191" xr:uid="{428D4979-D695-4256-9954-19FFD1C16FBC}"/>
    <cellStyle name="Milliers 7 14 2" xfId="192" xr:uid="{9D52F65B-DBF1-4E90-880D-E85A35C4852A}"/>
    <cellStyle name="Milliers 7 14 2 2" xfId="193" xr:uid="{7BD17230-AE9D-48D8-87EE-7697AAC8F10B}"/>
    <cellStyle name="Milliers 7 14 3" xfId="194" xr:uid="{5BC55C88-8ED4-454B-A21C-AA942C262A96}"/>
    <cellStyle name="Milliers 7 15" xfId="195" xr:uid="{5325FBE0-65C4-487A-AFA6-6D42608BF3B2}"/>
    <cellStyle name="Milliers 7 2" xfId="196" xr:uid="{88596299-D7B7-449A-A983-1BA4263BAFC4}"/>
    <cellStyle name="Milliers 7 2 2" xfId="197" xr:uid="{76361955-735D-452F-A8C6-B0676BA7371F}"/>
    <cellStyle name="Milliers 7 2 2 2" xfId="198" xr:uid="{6292E28A-4145-4F66-ABE3-6FD718A764FD}"/>
    <cellStyle name="Milliers 7 2 3" xfId="199" xr:uid="{372E2585-AEB9-40AC-B05C-FC693BC84B15}"/>
    <cellStyle name="Milliers 7 3" xfId="200" xr:uid="{CCCA6BAB-A5C0-404A-8E05-88291C3A0BB1}"/>
    <cellStyle name="Milliers 7 3 2" xfId="201" xr:uid="{FE2B6D70-0DAD-4F2F-B331-D88400704219}"/>
    <cellStyle name="Milliers 7 3 2 2" xfId="202" xr:uid="{AA376D51-B5F0-424C-8656-5D433E597F2E}"/>
    <cellStyle name="Milliers 7 3 3" xfId="203" xr:uid="{1A2C3FF6-E2FD-46A5-AB40-DD4C14CD65E5}"/>
    <cellStyle name="Milliers 7 4" xfId="204" xr:uid="{EE881628-FB1C-4186-BC36-6636E7A4DA7A}"/>
    <cellStyle name="Milliers 7 4 2" xfId="205" xr:uid="{A9DF8979-6A5F-44B5-9BE5-8AA0DA517D69}"/>
    <cellStyle name="Milliers 7 4 2 2" xfId="206" xr:uid="{3441C6B9-62CD-4129-BD61-9494E670FE2F}"/>
    <cellStyle name="Milliers 7 4 3" xfId="207" xr:uid="{700CE337-78E3-4D4B-9A83-F80A79232A02}"/>
    <cellStyle name="Milliers 7 5" xfId="208" xr:uid="{7AE2EE01-DA33-432F-8491-4A399E58164A}"/>
    <cellStyle name="Milliers 7 5 2" xfId="209" xr:uid="{FA130323-3468-43B7-A7A8-7B2EE2ED042E}"/>
    <cellStyle name="Milliers 7 5 2 2" xfId="210" xr:uid="{19FAC0E7-28F0-4D6D-8CB3-541CCC6819BE}"/>
    <cellStyle name="Milliers 7 5 3" xfId="211" xr:uid="{C22F9961-3EAD-446A-AD1E-4FD31F66D1A2}"/>
    <cellStyle name="Milliers 7 6" xfId="212" xr:uid="{90E6BF22-6C60-40CC-95F3-5B8DDF092D6F}"/>
    <cellStyle name="Milliers 7 6 2" xfId="213" xr:uid="{327FD067-280F-4203-AF98-3589E7C8ADC7}"/>
    <cellStyle name="Milliers 7 6 2 2" xfId="214" xr:uid="{3954058C-24EC-43E4-8153-F0C7E38F8F39}"/>
    <cellStyle name="Milliers 7 6 3" xfId="215" xr:uid="{1B3E8EF3-E7FF-4AB5-98A8-A72B58936CE9}"/>
    <cellStyle name="Milliers 7 7" xfId="216" xr:uid="{9E05BB10-7BE1-4B8C-B68C-FBFB8655A37B}"/>
    <cellStyle name="Milliers 7 7 2" xfId="217" xr:uid="{350E8968-B2A2-4F5E-ACC9-D9EFD3770602}"/>
    <cellStyle name="Milliers 7 7 2 2" xfId="218" xr:uid="{363ED396-F72B-4988-B351-A086691F50B9}"/>
    <cellStyle name="Milliers 7 7 3" xfId="219" xr:uid="{091489D9-AC03-4722-A2DF-4B49D1AE4C66}"/>
    <cellStyle name="Milliers 7 8" xfId="220" xr:uid="{63182307-C973-45FE-BE10-D808933F5D75}"/>
    <cellStyle name="Milliers 7 8 2" xfId="221" xr:uid="{1D531F9A-6A75-45B3-9244-F4BBA455F09C}"/>
    <cellStyle name="Milliers 7 8 2 2" xfId="222" xr:uid="{912CFEBD-F4FF-463C-84B0-865C672C4DE2}"/>
    <cellStyle name="Milliers 7 8 3" xfId="223" xr:uid="{9A9F2362-7AC6-49A4-8988-28E6E8A8E68A}"/>
    <cellStyle name="Milliers 7 9" xfId="224" xr:uid="{4918CF2E-729A-47E7-A69D-A2DC2E78278F}"/>
    <cellStyle name="Milliers 7 9 2" xfId="225" xr:uid="{1978699B-4545-42A4-8B44-0C895A3B1B81}"/>
    <cellStyle name="Milliers 7 9 2 2" xfId="226" xr:uid="{150DFD86-AAEB-4BFF-A2CF-E050749463C2}"/>
    <cellStyle name="Milliers 7 9 3" xfId="227" xr:uid="{4B97BB36-A251-460E-9B34-9E01B9748106}"/>
    <cellStyle name="Milliers 8" xfId="228" xr:uid="{11AEF486-BBB8-48DE-960A-D244B711A733}"/>
    <cellStyle name="Milliers 8 2" xfId="229" xr:uid="{A7DE50AB-282E-43B4-8485-359E9CFB85A8}"/>
    <cellStyle name="Milliers 9" xfId="230" xr:uid="{06790F97-CED9-4F92-876B-F4D0CFC93E01}"/>
    <cellStyle name="Normal" xfId="0" builtinId="0"/>
    <cellStyle name="Normal 10" xfId="231" xr:uid="{F6BD861B-F3AC-4844-ADEF-448A61838959}"/>
    <cellStyle name="Normal 10 2" xfId="232" xr:uid="{0F0F85C4-5D8B-4DB4-A095-FE7B6964C72F}"/>
    <cellStyle name="Normal 10 3" xfId="233" xr:uid="{45B81E3A-40CD-4BAC-AFDC-B2A1B2A025AE}"/>
    <cellStyle name="Normal 10 4" xfId="234" xr:uid="{18037831-D7EC-4269-998E-2E9BA6D65EFC}"/>
    <cellStyle name="Normal 10 5" xfId="235" xr:uid="{50166930-28E1-4FCF-A772-D4BF2B6255A8}"/>
    <cellStyle name="Normal 10 6" xfId="236" xr:uid="{EB2B6E61-1956-4A3B-BC93-CB761ABF24D0}"/>
    <cellStyle name="Normal 10 7" xfId="237" xr:uid="{A847FA14-EF6F-414C-92EB-71FAD8E8D6F6}"/>
    <cellStyle name="Normal 11" xfId="238" xr:uid="{08AEDFA1-B1A5-41DA-A589-B7458971D313}"/>
    <cellStyle name="Normal 11 2" xfId="239" xr:uid="{30593426-5858-461A-BF09-6D90ABF7D5B3}"/>
    <cellStyle name="Normal 11 3" xfId="240" xr:uid="{2978C68F-699D-4149-801B-FB8E09742A1F}"/>
    <cellStyle name="Normal 11 4" xfId="241" xr:uid="{BC030566-8946-4711-8BC3-968735B3AD45}"/>
    <cellStyle name="Normal 11 5" xfId="242" xr:uid="{9F770A6D-F526-46CA-A65A-279CBE2E96AF}"/>
    <cellStyle name="Normal 11 6" xfId="243" xr:uid="{4148A5E9-C29D-4582-B3C6-D76920283E13}"/>
    <cellStyle name="Normal 12" xfId="244" xr:uid="{A7628282-12F0-49CD-91C0-3513C521A861}"/>
    <cellStyle name="Normal 12 2" xfId="245" xr:uid="{C914D3B8-E7FE-4C06-AB66-D5EF5A9DEC19}"/>
    <cellStyle name="Normal 12 3" xfId="246" xr:uid="{E525F7AA-A594-433D-A3ED-FB1D2BD0D1C3}"/>
    <cellStyle name="Normal 12 4" xfId="247" xr:uid="{DB2D6F6D-8D1F-47D0-BB19-7AE2C7C66144}"/>
    <cellStyle name="Normal 12 5" xfId="248" xr:uid="{456739D8-CA9C-45ED-B4EC-95B16715A049}"/>
    <cellStyle name="Normal 12 6" xfId="249" xr:uid="{0D26B5D4-B66D-4706-92C0-ED81DB14491F}"/>
    <cellStyle name="Normal 13" xfId="250" xr:uid="{830BA374-D8FA-4065-A9B6-A0C645B65288}"/>
    <cellStyle name="Normal 13 2" xfId="251" xr:uid="{A09A9CF8-BD4F-4480-A7DE-D65DD682AD80}"/>
    <cellStyle name="Normal 13 3" xfId="252" xr:uid="{A3F70AB9-5B2C-457B-B5C2-C1CB628DB920}"/>
    <cellStyle name="Normal 13 4" xfId="253" xr:uid="{1F2CCEB4-DE2F-4C4A-B988-EF44209C43FB}"/>
    <cellStyle name="Normal 13 5" xfId="254" xr:uid="{AF0AD16E-72F1-4028-9D18-48217DBC53AB}"/>
    <cellStyle name="Normal 13 6" xfId="255" xr:uid="{62239B00-72F4-420F-9E8C-8A0AEE23A176}"/>
    <cellStyle name="Normal 14" xfId="256" xr:uid="{1807CBEC-037E-45D3-A882-94C023E121E2}"/>
    <cellStyle name="Normal 14 2" xfId="257" xr:uid="{F394D975-7357-4BDC-9635-D1EB9830E6CB}"/>
    <cellStyle name="Normal 14 3" xfId="258" xr:uid="{DCF5CA12-331F-45D3-AD24-B5DB9A2AB185}"/>
    <cellStyle name="Normal 14 4" xfId="259" xr:uid="{72FEAFA3-5CE7-49AE-A412-BE348A68DC86}"/>
    <cellStyle name="Normal 14 5" xfId="260" xr:uid="{147030BD-C0B2-4DE3-8B8F-66EF4368FF65}"/>
    <cellStyle name="Normal 14 6" xfId="261" xr:uid="{A6530D06-0604-4664-8407-BFE65D953C85}"/>
    <cellStyle name="Normal 15" xfId="262" xr:uid="{1540FA1F-33FB-45E0-A0C5-72DDFF4809A2}"/>
    <cellStyle name="Normal 16" xfId="263" xr:uid="{E3B5F94B-73F2-41B2-ACD1-CDB8DD0A026F}"/>
    <cellStyle name="Normal 17" xfId="264" xr:uid="{CF8CF65E-2D07-46FE-8230-AB66AE2E0606}"/>
    <cellStyle name="Normal 17 10" xfId="265" xr:uid="{B66CD2FD-3B2D-477E-8F55-C081F273BB0F}"/>
    <cellStyle name="Normal 17 11" xfId="266" xr:uid="{9358F01A-3B3F-4594-9640-10E227A91B9C}"/>
    <cellStyle name="Normal 17 12" xfId="267" xr:uid="{D8148EEE-102C-42BD-BC0F-DE1A6822AAE7}"/>
    <cellStyle name="Normal 17 15" xfId="268" xr:uid="{CB8A9CFF-E25D-42B4-A089-657DD98C2366}"/>
    <cellStyle name="Normal 17 2" xfId="269" xr:uid="{672AF33E-2648-4C2E-99AB-D6AC0CA41B77}"/>
    <cellStyle name="Normal 17 2 2" xfId="270" xr:uid="{DD3A9A9A-8AA3-4F4F-A5A6-7C98F922F52F}"/>
    <cellStyle name="Normal 17 3" xfId="271" xr:uid="{EFB73E25-77E9-481D-95ED-1646652E5DEF}"/>
    <cellStyle name="Normal 17 4" xfId="272" xr:uid="{AFF39E2E-B287-4EE8-8250-7D38CD0033C8}"/>
    <cellStyle name="Normal 17 5" xfId="273" xr:uid="{13B01205-3680-46A1-8914-125AEB6A8A34}"/>
    <cellStyle name="Normal 17 6" xfId="274" xr:uid="{573E6821-CA57-4082-8A69-A2E9462B934B}"/>
    <cellStyle name="Normal 17 7" xfId="275" xr:uid="{D3A0A753-3E21-4C00-B35E-49004AC8EC3B}"/>
    <cellStyle name="Normal 17 8" xfId="276" xr:uid="{63436C43-AE23-4CDF-AC8F-2B7CCF44314C}"/>
    <cellStyle name="Normal 17 9" xfId="277" xr:uid="{71B6CA96-CFC9-4684-A676-26F9E1802830}"/>
    <cellStyle name="Normal 18" xfId="278" xr:uid="{2E94BD43-7755-4894-A51F-D243D54222E1}"/>
    <cellStyle name="Normal 18 2" xfId="279" xr:uid="{9248BF62-C274-46A4-B21F-2F67531D2C4A}"/>
    <cellStyle name="Normal 18 2 2" xfId="280" xr:uid="{F572CC63-78D9-4AB8-9E8F-D783D8703912}"/>
    <cellStyle name="Normal 18 3" xfId="281" xr:uid="{89CCF46D-8B57-46C8-B8D7-67C58AB4C0A1}"/>
    <cellStyle name="Normal 18 4" xfId="282" xr:uid="{65F4FBF8-D66A-4D4C-AA07-35CF6F001548}"/>
    <cellStyle name="Normal 18 5" xfId="283" xr:uid="{84EBB81F-ABD7-4B3B-ACC9-5F67D5478349}"/>
    <cellStyle name="Normal 18 6" xfId="284" xr:uid="{D6896B2A-6DF9-43C0-863A-D3B0233E949D}"/>
    <cellStyle name="Normal 18 7" xfId="285" xr:uid="{98EE7DF7-CBB6-4B8C-B3A5-1FEB3BE985C1}"/>
    <cellStyle name="Normal 19" xfId="286" xr:uid="{42ABB5EB-5700-4F38-ADC5-252248933510}"/>
    <cellStyle name="Normal 19 2" xfId="287" xr:uid="{7F4F47AD-65D9-4153-8A7C-197841DE0A7D}"/>
    <cellStyle name="Normal 19 3" xfId="288" xr:uid="{2A1B3083-5295-4411-BB0D-9E7D5425AFB0}"/>
    <cellStyle name="Normal 19 4" xfId="289" xr:uid="{BAB8BE0F-2C8B-4A39-BDAA-6231A3F0E1A2}"/>
    <cellStyle name="Normal 19 5" xfId="290" xr:uid="{7F41D226-6FDA-4B8E-BDF3-A6D79F1ED9C9}"/>
    <cellStyle name="Normal 19 6" xfId="291" xr:uid="{C2C09652-A864-497F-954C-1794D6DA4D0D}"/>
    <cellStyle name="Normal 19 7" xfId="292" xr:uid="{208329B8-EFBA-4900-BA1B-F316407110F9}"/>
    <cellStyle name="Normal 2" xfId="293" xr:uid="{6AA34E62-D4C5-4110-9270-554B376FECBD}"/>
    <cellStyle name="Normal 2 10" xfId="294" xr:uid="{0BA3FE7A-EB70-4A21-B46F-AA237467035E}"/>
    <cellStyle name="Normal 2 10 10" xfId="295" xr:uid="{7735A727-5A7A-4A21-BA13-B29550D8CDC1}"/>
    <cellStyle name="Normal 2 10 11" xfId="296" xr:uid="{4BD354D0-3F17-4026-B780-1F80D802D4EB}"/>
    <cellStyle name="Normal 2 10 12" xfId="297" xr:uid="{BD4F18D9-5293-47C5-8373-F30C19BDFFB1}"/>
    <cellStyle name="Normal 2 10 13" xfId="298" xr:uid="{7E6A7621-E666-4205-8C68-0EA61C85915D}"/>
    <cellStyle name="Normal 2 10 14" xfId="299" xr:uid="{794F4A06-53C8-4AB0-98C3-BA0BB6A243E5}"/>
    <cellStyle name="Normal 2 10 15" xfId="300" xr:uid="{B05FF0EC-123F-4981-94AA-8E3EF6622E51}"/>
    <cellStyle name="Normal 2 10 16" xfId="301" xr:uid="{F2B9B5F8-98B3-4922-B44D-A4A318FBE718}"/>
    <cellStyle name="Normal 2 10 17" xfId="302" xr:uid="{154E2A95-EF1D-4FB3-B65F-509EB552FF9C}"/>
    <cellStyle name="Normal 2 10 18" xfId="303" xr:uid="{036C6059-B802-4755-932E-6C2210E61AC6}"/>
    <cellStyle name="Normal 2 10 19" xfId="304" xr:uid="{FE2F03EF-A32A-4A90-84A4-857ABA887AAC}"/>
    <cellStyle name="Normal 2 10 2" xfId="305" xr:uid="{25FD8952-AFD9-4556-A52B-6A25407FCDCD}"/>
    <cellStyle name="Normal 2 10 2 2" xfId="306" xr:uid="{D2C9A341-2768-41D1-8D78-26D05EEE18C2}"/>
    <cellStyle name="Normal 2 10 20" xfId="307" xr:uid="{27B254D6-6AE7-457E-80D6-5896E4976672}"/>
    <cellStyle name="Normal 2 10 21" xfId="308" xr:uid="{A1B63674-09EA-409C-8A57-37960163B9E8}"/>
    <cellStyle name="Normal 2 10 3" xfId="309" xr:uid="{59690E05-79D0-4168-A4CF-1FD758375683}"/>
    <cellStyle name="Normal 2 10 4" xfId="310" xr:uid="{204FAB67-9032-45EF-B08B-B858F9E7BEE1}"/>
    <cellStyle name="Normal 2 10 5" xfId="311" xr:uid="{B7BDA9E2-BF95-4688-8C15-2F8E25D3E382}"/>
    <cellStyle name="Normal 2 10 6" xfId="312" xr:uid="{17B3D7BA-7E75-4B63-92A1-B25CA963CFBF}"/>
    <cellStyle name="Normal 2 10 7" xfId="313" xr:uid="{FF1DF271-430B-44C2-A5EE-5BB0D00EE506}"/>
    <cellStyle name="Normal 2 10 8" xfId="314" xr:uid="{C194B3CF-7B15-49C8-B7D6-3C8A5745A58E}"/>
    <cellStyle name="Normal 2 10 9" xfId="315" xr:uid="{5851A164-A53B-4E2D-8D06-93DC6E600246}"/>
    <cellStyle name="Normal 2 11" xfId="316" xr:uid="{5C202FBF-D4AA-419C-BEBC-FB3A3F367338}"/>
    <cellStyle name="Normal 2 11 10" xfId="317" xr:uid="{DEE39613-E308-48EA-9FD5-41E601404D9A}"/>
    <cellStyle name="Normal 2 11 11" xfId="318" xr:uid="{24654813-0482-4C8B-BB23-3C1643424B86}"/>
    <cellStyle name="Normal 2 11 12" xfId="319" xr:uid="{CFEE1B50-3FB7-4DB8-9DD8-76187337362D}"/>
    <cellStyle name="Normal 2 11 13" xfId="320" xr:uid="{75484F6E-A584-4C05-87B7-6DE81C989DE0}"/>
    <cellStyle name="Normal 2 11 14" xfId="321" xr:uid="{3335344C-131C-4BA0-A05F-47C7A217B691}"/>
    <cellStyle name="Normal 2 11 15" xfId="322" xr:uid="{84C09F15-AA63-402E-9C88-1B1BDE5E341E}"/>
    <cellStyle name="Normal 2 11 16" xfId="323" xr:uid="{A23F4904-23C6-4E1B-A577-549F8D56093F}"/>
    <cellStyle name="Normal 2 11 17" xfId="324" xr:uid="{35D06D6B-AC30-4185-9141-19594A0EA527}"/>
    <cellStyle name="Normal 2 11 18" xfId="325" xr:uid="{8BC222D4-65E8-414E-8786-9380D1418871}"/>
    <cellStyle name="Normal 2 11 19" xfId="326" xr:uid="{DEA9A167-E416-47E4-AAC3-E692BEEF62C9}"/>
    <cellStyle name="Normal 2 11 2" xfId="327" xr:uid="{D1433999-35B9-48D3-8C26-5B97F81063B8}"/>
    <cellStyle name="Normal 2 11 20" xfId="328" xr:uid="{37F72BF4-72DC-42B8-B7A9-673EF10AF7DC}"/>
    <cellStyle name="Normal 2 11 21" xfId="329" xr:uid="{B4830BAE-5D0D-41C3-9812-0D703D701C97}"/>
    <cellStyle name="Normal 2 11 3" xfId="330" xr:uid="{1E5BC7A0-6272-4217-8080-D78ABCB03CAB}"/>
    <cellStyle name="Normal 2 11 4" xfId="331" xr:uid="{014858AA-8B61-452D-B1C9-882D2B30886C}"/>
    <cellStyle name="Normal 2 11 5" xfId="332" xr:uid="{4996230D-B366-4454-9BE0-F39FF9E2EEE8}"/>
    <cellStyle name="Normal 2 11 6" xfId="333" xr:uid="{991EEA50-BCC6-48EA-AFF5-E1ED56AB453A}"/>
    <cellStyle name="Normal 2 11 7" xfId="334" xr:uid="{930B5FD6-C523-4A72-9749-9A69A97DB223}"/>
    <cellStyle name="Normal 2 11 8" xfId="335" xr:uid="{6E180698-887E-49ED-A4A0-604EEB01D7CD}"/>
    <cellStyle name="Normal 2 11 9" xfId="336" xr:uid="{DAEF155A-2024-42AC-8C21-2232ADACDCBA}"/>
    <cellStyle name="Normal 2 12" xfId="337" xr:uid="{505C513A-DFEB-4EA4-8DF6-B0122ACA0AD2}"/>
    <cellStyle name="Normal 2 12 10" xfId="338" xr:uid="{B8268C71-7DE2-478A-8FAD-AAA21080DA0F}"/>
    <cellStyle name="Normal 2 12 11" xfId="339" xr:uid="{B60B1851-E9EA-4EB2-B3FB-BA2185A87F9F}"/>
    <cellStyle name="Normal 2 12 12" xfId="340" xr:uid="{0844BFB3-229F-42DB-90C0-9C8BE7BEB9CF}"/>
    <cellStyle name="Normal 2 12 13" xfId="341" xr:uid="{1052C620-C89F-40D9-86B0-5643176853BD}"/>
    <cellStyle name="Normal 2 12 14" xfId="342" xr:uid="{89031C56-6759-46E8-BD32-FD28EE94FF32}"/>
    <cellStyle name="Normal 2 12 15" xfId="343" xr:uid="{AADFB395-7913-4D16-BA0D-FE3CB64AF2AE}"/>
    <cellStyle name="Normal 2 12 16" xfId="344" xr:uid="{BDDBD3A4-D53B-441E-B43B-6EEAD441B514}"/>
    <cellStyle name="Normal 2 12 17" xfId="345" xr:uid="{0C0310CB-B549-45EB-A723-6EBA6DCC1718}"/>
    <cellStyle name="Normal 2 12 18" xfId="346" xr:uid="{FAB665D4-20F8-4819-AD3B-D41769D2D660}"/>
    <cellStyle name="Normal 2 12 19" xfId="347" xr:uid="{75BA19D8-B140-4F19-8506-E12277868E97}"/>
    <cellStyle name="Normal 2 12 2" xfId="348" xr:uid="{B3ADCA44-5B0E-460F-8701-A5784943FD94}"/>
    <cellStyle name="Normal 2 12 20" xfId="349" xr:uid="{448DF61C-2AD4-4F39-8F91-6163BE0E9C1E}"/>
    <cellStyle name="Normal 2 12 21" xfId="350" xr:uid="{0646254A-58E6-4A6B-B2EE-081F2DF08661}"/>
    <cellStyle name="Normal 2 12 3" xfId="351" xr:uid="{AFE6E143-09DB-4779-BD35-18776F68B896}"/>
    <cellStyle name="Normal 2 12 4" xfId="352" xr:uid="{2E725233-D413-427B-BC1D-DAF72E6B8233}"/>
    <cellStyle name="Normal 2 12 5" xfId="353" xr:uid="{D492A1E1-D118-406B-87CD-F1DBCA7AA803}"/>
    <cellStyle name="Normal 2 12 6" xfId="354" xr:uid="{09CD13D7-6AB6-4662-9FA9-E9CA357B66C5}"/>
    <cellStyle name="Normal 2 12 7" xfId="355" xr:uid="{E5EFFBD3-DAEA-4985-8E35-421350033986}"/>
    <cellStyle name="Normal 2 12 8" xfId="356" xr:uid="{DD3D6F4D-8B74-46F1-8624-E9F383C5C148}"/>
    <cellStyle name="Normal 2 12 9" xfId="357" xr:uid="{FCE0D937-F887-4642-815E-B743A2011E66}"/>
    <cellStyle name="Normal 2 13" xfId="358" xr:uid="{7C826E2B-F21C-427F-A60F-58D0E0A3D598}"/>
    <cellStyle name="Normal 2 13 10" xfId="359" xr:uid="{C9CAFDD6-6E3E-49E4-80E9-47EF2154C7CE}"/>
    <cellStyle name="Normal 2 13 11" xfId="360" xr:uid="{A48FB6C6-1DAC-44B0-AE8F-8BCA3AD234F4}"/>
    <cellStyle name="Normal 2 13 12" xfId="361" xr:uid="{EBFB44A6-2457-4773-ACE2-204A2E27758D}"/>
    <cellStyle name="Normal 2 13 13" xfId="362" xr:uid="{7DD2B17F-06B4-409C-8DFC-28F93226FF2D}"/>
    <cellStyle name="Normal 2 13 14" xfId="363" xr:uid="{43FCB11F-3E53-4708-9398-1E9C327A8E86}"/>
    <cellStyle name="Normal 2 13 15" xfId="364" xr:uid="{CCE86991-49B3-48F3-AEF5-B41FACD9DF03}"/>
    <cellStyle name="Normal 2 13 16" xfId="365" xr:uid="{213A1ACB-E983-4C15-ADB0-F7FCE9FE1716}"/>
    <cellStyle name="Normal 2 13 17" xfId="366" xr:uid="{8F891973-D55D-4A5B-911E-3A6766DE89C9}"/>
    <cellStyle name="Normal 2 13 18" xfId="367" xr:uid="{BEE16635-DB66-48F0-8FD6-402637DC1023}"/>
    <cellStyle name="Normal 2 13 19" xfId="368" xr:uid="{9437C2E2-D816-42E9-9477-CE073016572F}"/>
    <cellStyle name="Normal 2 13 2" xfId="369" xr:uid="{D439267A-540D-41AD-8C03-7BF5A04E32C6}"/>
    <cellStyle name="Normal 2 13 20" xfId="370" xr:uid="{5D0EB106-5C5D-4DC2-9DC0-AE9CDBCC53A8}"/>
    <cellStyle name="Normal 2 13 21" xfId="371" xr:uid="{2DFEB12A-AFD9-48CA-AC34-2CE1843330A1}"/>
    <cellStyle name="Normal 2 13 3" xfId="372" xr:uid="{43F068E4-AE3B-4666-A1E9-8DE807BD25BE}"/>
    <cellStyle name="Normal 2 13 4" xfId="373" xr:uid="{5435F2F8-43F7-4C53-9E6F-86AB768CC913}"/>
    <cellStyle name="Normal 2 13 5" xfId="374" xr:uid="{7D4B50C6-6C37-427C-9956-8E8930BA94CA}"/>
    <cellStyle name="Normal 2 13 6" xfId="375" xr:uid="{C1239154-F9B0-416D-A220-21CDB19EF050}"/>
    <cellStyle name="Normal 2 13 7" xfId="376" xr:uid="{D4E7AEAC-8EFA-490B-ABC6-C92D611B0DEB}"/>
    <cellStyle name="Normal 2 13 8" xfId="377" xr:uid="{F3ED6FE3-1C6F-41A0-B9DB-B60F7F130BFD}"/>
    <cellStyle name="Normal 2 13 9" xfId="378" xr:uid="{D7506EC6-D408-48A3-BBE7-A3A4015A0D57}"/>
    <cellStyle name="Normal 2 14" xfId="379" xr:uid="{42211F73-DBB5-444B-9333-BCA657F1B8AA}"/>
    <cellStyle name="Normal 2 14 10" xfId="380" xr:uid="{DE6132B5-2872-41F6-8C31-5599E0A27879}"/>
    <cellStyle name="Normal 2 14 11" xfId="381" xr:uid="{AFBE8868-B504-4BDE-9A47-BC55BA34E09E}"/>
    <cellStyle name="Normal 2 14 12" xfId="382" xr:uid="{3708BBB8-9461-4052-A52D-C049FA4A1BCB}"/>
    <cellStyle name="Normal 2 14 13" xfId="383" xr:uid="{7F59E8C0-6148-46EE-B361-BE5CBA7DF739}"/>
    <cellStyle name="Normal 2 14 14" xfId="384" xr:uid="{C5D68792-72EB-4C12-A98A-B53FC98FD593}"/>
    <cellStyle name="Normal 2 14 15" xfId="385" xr:uid="{8DF0C847-DC27-4187-9474-B4FE863F5114}"/>
    <cellStyle name="Normal 2 14 16" xfId="386" xr:uid="{D769953E-9C50-4AD7-B26E-1C8FBF7B8C0E}"/>
    <cellStyle name="Normal 2 14 17" xfId="387" xr:uid="{DB8B8549-5842-4BE3-8660-46226E8C7533}"/>
    <cellStyle name="Normal 2 14 18" xfId="388" xr:uid="{12499E49-1AA1-49EE-9DB6-44B986AC15B3}"/>
    <cellStyle name="Normal 2 14 19" xfId="389" xr:uid="{C3B9CC30-354A-4F20-8589-A9F04D0F71BD}"/>
    <cellStyle name="Normal 2 14 2" xfId="390" xr:uid="{3AE4F423-10C4-4544-BD00-9EC05B676510}"/>
    <cellStyle name="Normal 2 14 20" xfId="391" xr:uid="{51844DFC-6E74-4918-AACE-7ADB5B9221EC}"/>
    <cellStyle name="Normal 2 14 21" xfId="392" xr:uid="{C66981F1-3E60-41C8-820E-A683325ABD65}"/>
    <cellStyle name="Normal 2 14 3" xfId="393" xr:uid="{629C6C61-60A2-4E20-956C-29BA9CBBB89B}"/>
    <cellStyle name="Normal 2 14 4" xfId="394" xr:uid="{41C89DF7-41C6-4945-9FDE-CF19990A3911}"/>
    <cellStyle name="Normal 2 14 5" xfId="395" xr:uid="{A0D6CB0C-3736-4E55-BD2A-9FB6C97E19D9}"/>
    <cellStyle name="Normal 2 14 6" xfId="396" xr:uid="{78A1B517-08AA-4EA2-A0D4-2D87A7DC184B}"/>
    <cellStyle name="Normal 2 14 7" xfId="397" xr:uid="{01108754-BDEE-40D9-B626-D2316D49334A}"/>
    <cellStyle name="Normal 2 14 8" xfId="398" xr:uid="{4989DECD-1F09-4D0B-BAA6-07CFF2090744}"/>
    <cellStyle name="Normal 2 14 9" xfId="399" xr:uid="{716C0FEF-3D9E-46F8-9B1F-F5921E6B6089}"/>
    <cellStyle name="Normal 2 15" xfId="400" xr:uid="{23239539-3981-44C2-ADF0-6A98996E2740}"/>
    <cellStyle name="Normal 2 15 10" xfId="401" xr:uid="{788022D7-90DF-4EF1-9FB4-8EE3A2FBE669}"/>
    <cellStyle name="Normal 2 15 11" xfId="402" xr:uid="{F7032A93-B39E-48E3-A958-B489E8B7DAED}"/>
    <cellStyle name="Normal 2 15 12" xfId="403" xr:uid="{037A2A30-DF00-4392-9A77-4FD8AE8F6722}"/>
    <cellStyle name="Normal 2 15 13" xfId="404" xr:uid="{51AC7C7A-D2FB-4209-979A-8D4BE2729831}"/>
    <cellStyle name="Normal 2 15 14" xfId="405" xr:uid="{F4A3144D-18E0-418C-B0DE-6DE234DB0472}"/>
    <cellStyle name="Normal 2 15 15" xfId="406" xr:uid="{4264FD32-165D-47E7-9ED6-6BCF55354A5D}"/>
    <cellStyle name="Normal 2 15 16" xfId="407" xr:uid="{ACEB7BCB-296F-41DF-8C22-E5B663B818CB}"/>
    <cellStyle name="Normal 2 15 17" xfId="408" xr:uid="{4EB0B721-55DD-41DC-9C99-EFEC95A6C27E}"/>
    <cellStyle name="Normal 2 15 18" xfId="409" xr:uid="{B6F2295B-1B1B-477E-B9E6-F382E697716F}"/>
    <cellStyle name="Normal 2 15 19" xfId="410" xr:uid="{6392B8C5-559C-4948-9170-A6CF04D14A9D}"/>
    <cellStyle name="Normal 2 15 2" xfId="411" xr:uid="{07646CF5-70A9-45D2-96C7-A9E8D6DF3E19}"/>
    <cellStyle name="Normal 2 15 20" xfId="412" xr:uid="{9F8B6B73-2EBC-4740-B00A-DDE351DB3155}"/>
    <cellStyle name="Normal 2 15 21" xfId="413" xr:uid="{7993C304-D15F-4B93-8D0B-1FB7F348696D}"/>
    <cellStyle name="Normal 2 15 3" xfId="414" xr:uid="{38AF78F8-AE83-4966-BE03-BE25EF78D7AB}"/>
    <cellStyle name="Normal 2 15 4" xfId="415" xr:uid="{69E2721E-381B-4CC5-A281-31DE51355B53}"/>
    <cellStyle name="Normal 2 15 5" xfId="416" xr:uid="{284F1D96-BABA-4637-BEAE-1BFD13B94523}"/>
    <cellStyle name="Normal 2 15 6" xfId="417" xr:uid="{3F9F9FB1-0679-407B-B13C-7648893A9459}"/>
    <cellStyle name="Normal 2 15 7" xfId="418" xr:uid="{8B2AA11B-CA9D-415A-83A5-337178054D51}"/>
    <cellStyle name="Normal 2 15 8" xfId="419" xr:uid="{D28B31E7-85F5-4B56-8A5B-832199D28E5F}"/>
    <cellStyle name="Normal 2 15 9" xfId="420" xr:uid="{8A4FA253-C4F1-4532-9288-8B048D3AE14D}"/>
    <cellStyle name="Normal 2 16" xfId="421" xr:uid="{E02E67F4-D309-4E65-B0E2-2D7066DF898C}"/>
    <cellStyle name="Normal 2 16 10" xfId="422" xr:uid="{4D4E1C21-6A4E-4BB7-A244-0D11715FD89B}"/>
    <cellStyle name="Normal 2 16 11" xfId="423" xr:uid="{B5737B9F-3FF0-4A91-B8B6-6B9FB7122655}"/>
    <cellStyle name="Normal 2 16 12" xfId="424" xr:uid="{6483B889-3EE9-4380-94F9-ABA027DDA70F}"/>
    <cellStyle name="Normal 2 16 13" xfId="425" xr:uid="{38174BA9-8656-41A4-B272-7CFDDE5A0701}"/>
    <cellStyle name="Normal 2 16 14" xfId="426" xr:uid="{64116242-B68B-4346-AF8B-BA45817BE07B}"/>
    <cellStyle name="Normal 2 16 15" xfId="427" xr:uid="{C0B0CED5-C383-41B2-9F77-9605CE32E650}"/>
    <cellStyle name="Normal 2 16 16" xfId="428" xr:uid="{79A53A67-684B-4C56-B310-77D1A43B2910}"/>
    <cellStyle name="Normal 2 16 17" xfId="429" xr:uid="{7EE8B194-1C8E-44EC-8A94-6C0D56FE7551}"/>
    <cellStyle name="Normal 2 16 18" xfId="430" xr:uid="{E80D736F-3373-4BAB-88C9-FAE01ADB778C}"/>
    <cellStyle name="Normal 2 16 19" xfId="431" xr:uid="{C864EC8D-5E07-4304-81D4-8A2CDCC4F291}"/>
    <cellStyle name="Normal 2 16 2" xfId="432" xr:uid="{CEFBDB02-7E35-4A38-8784-A74CC3878997}"/>
    <cellStyle name="Normal 2 16 20" xfId="433" xr:uid="{4094AFA3-016E-4C64-9A8C-4BDE35A8AB03}"/>
    <cellStyle name="Normal 2 16 21" xfId="434" xr:uid="{F6B72BDE-B2E8-4228-8CDD-CF3933DBD8DC}"/>
    <cellStyle name="Normal 2 16 3" xfId="435" xr:uid="{D1F9B005-3161-40F2-B420-B861AE941278}"/>
    <cellStyle name="Normal 2 16 4" xfId="436" xr:uid="{03C2335F-D85F-40F0-A58F-81E4A80CF429}"/>
    <cellStyle name="Normal 2 16 5" xfId="437" xr:uid="{61A9E5C2-11B5-470D-B8B4-C89004AB736A}"/>
    <cellStyle name="Normal 2 16 6" xfId="438" xr:uid="{444C16C3-5FFE-4B58-8943-93F2FF2C9459}"/>
    <cellStyle name="Normal 2 16 7" xfId="439" xr:uid="{6071D4B6-FC40-40AD-BC06-B24A8BBFAF85}"/>
    <cellStyle name="Normal 2 16 8" xfId="440" xr:uid="{91A6CD67-0916-4182-BA74-4433DDF5AE1E}"/>
    <cellStyle name="Normal 2 16 9" xfId="441" xr:uid="{6C33E0D0-161C-4ED8-9133-1B36295B991B}"/>
    <cellStyle name="Normal 2 17" xfId="442" xr:uid="{6A62ECC4-E6E7-4286-80A9-44511DB4B2A1}"/>
    <cellStyle name="Normal 2 17 10" xfId="443" xr:uid="{23B46BFB-4245-4FE7-8FFE-7AFF1EB65573}"/>
    <cellStyle name="Normal 2 17 11" xfId="444" xr:uid="{82DD517E-3ABE-461B-BA5A-CFB42A057562}"/>
    <cellStyle name="Normal 2 17 12" xfId="445" xr:uid="{F70BEF67-5327-4AF6-8A12-ABD9B606994D}"/>
    <cellStyle name="Normal 2 17 13" xfId="446" xr:uid="{4D8BACDD-0A61-47E7-BC71-4A27B0FE922D}"/>
    <cellStyle name="Normal 2 17 14" xfId="447" xr:uid="{900BEDCE-AB2A-4330-A537-395B6D7BEB18}"/>
    <cellStyle name="Normal 2 17 15" xfId="448" xr:uid="{EA74598B-BACF-40A0-B137-C2C6DC8898BC}"/>
    <cellStyle name="Normal 2 17 16" xfId="449" xr:uid="{A715FAE5-0143-4CF1-9E11-58A5F6FF81FC}"/>
    <cellStyle name="Normal 2 17 17" xfId="450" xr:uid="{DC66A5D8-D698-44CE-9950-AC98E47653C6}"/>
    <cellStyle name="Normal 2 17 18" xfId="451" xr:uid="{EBBB9DDA-C290-4244-9D2C-526BC4316323}"/>
    <cellStyle name="Normal 2 17 19" xfId="452" xr:uid="{9903FA4F-2EAD-4959-8F73-987F30433835}"/>
    <cellStyle name="Normal 2 17 2" xfId="453" xr:uid="{15F0E00A-6559-490C-A49D-7BB5D501153E}"/>
    <cellStyle name="Normal 2 17 20" xfId="454" xr:uid="{923B6155-BEAF-4D2F-B314-96A51C6668F4}"/>
    <cellStyle name="Normal 2 17 21" xfId="455" xr:uid="{170BE2A7-8EF9-444D-A848-153BF46ECCAA}"/>
    <cellStyle name="Normal 2 17 3" xfId="456" xr:uid="{6BAA526A-E667-4B71-A32B-E38B740295B3}"/>
    <cellStyle name="Normal 2 17 4" xfId="457" xr:uid="{C8E3D284-47CD-4C32-8DCE-F5100470D9E4}"/>
    <cellStyle name="Normal 2 17 5" xfId="458" xr:uid="{86864B04-5FC5-4A43-A6BB-3B04F9B0BCA2}"/>
    <cellStyle name="Normal 2 17 6" xfId="459" xr:uid="{3A2EC5DE-1CCB-411B-BC69-33653D0AC006}"/>
    <cellStyle name="Normal 2 17 7" xfId="460" xr:uid="{4E0A9550-8A71-445D-8333-13FB69C1EF25}"/>
    <cellStyle name="Normal 2 17 8" xfId="461" xr:uid="{D6DADF85-51F5-467A-BE2A-DFD133B853BC}"/>
    <cellStyle name="Normal 2 17 9" xfId="462" xr:uid="{57105B4F-2E3D-4A5E-9C7A-878CDE2D3308}"/>
    <cellStyle name="Normal 2 18" xfId="463" xr:uid="{1DE88639-AB4E-47EB-8993-B2503E956B80}"/>
    <cellStyle name="Normal 2 18 10" xfId="464" xr:uid="{286396A9-F3C7-4BF8-956D-4C25D8654BDB}"/>
    <cellStyle name="Normal 2 18 11" xfId="465" xr:uid="{A8858529-8453-4377-AFD9-52D1B19FCC9D}"/>
    <cellStyle name="Normal 2 18 12" xfId="466" xr:uid="{52C17EA8-559F-4F5E-B61B-47F69EFC8FE9}"/>
    <cellStyle name="Normal 2 18 13" xfId="467" xr:uid="{3ACAC8A3-0D71-491B-91D9-DFCD935321F2}"/>
    <cellStyle name="Normal 2 18 14" xfId="468" xr:uid="{00A94AC0-3CA3-48B1-845C-A169BD7EC2A9}"/>
    <cellStyle name="Normal 2 18 15" xfId="469" xr:uid="{1757C7E3-4AFC-4B84-9DAE-4B6355A3004F}"/>
    <cellStyle name="Normal 2 18 16" xfId="470" xr:uid="{42FD206F-10AA-48A8-BEFE-34802995A612}"/>
    <cellStyle name="Normal 2 18 17" xfId="471" xr:uid="{B30781A9-FF31-45D3-BD63-5ABC585B3545}"/>
    <cellStyle name="Normal 2 18 18" xfId="472" xr:uid="{CC2C893C-D8DC-4195-84BD-9BDAEF2F0D43}"/>
    <cellStyle name="Normal 2 18 19" xfId="473" xr:uid="{EBABA3BB-BF30-42A6-A8F4-9505C08D320A}"/>
    <cellStyle name="Normal 2 18 2" xfId="474" xr:uid="{A41D4424-01D3-4443-8705-8883CE0C9D18}"/>
    <cellStyle name="Normal 2 18 20" xfId="475" xr:uid="{47793728-C706-44DB-A6EB-9ECC3C19CD67}"/>
    <cellStyle name="Normal 2 18 21" xfId="476" xr:uid="{ADA79156-05D0-41DC-B95F-57E182FF863A}"/>
    <cellStyle name="Normal 2 18 3" xfId="477" xr:uid="{FD6AE407-2C44-49D5-A6F1-F6CB7BF3ABDE}"/>
    <cellStyle name="Normal 2 18 4" xfId="478" xr:uid="{6A6C1B04-A7C0-40FC-9BAC-5921B3184CB3}"/>
    <cellStyle name="Normal 2 18 5" xfId="479" xr:uid="{8EEEBF64-0556-4366-A2AF-0498D5F4317F}"/>
    <cellStyle name="Normal 2 18 6" xfId="480" xr:uid="{F4E4ABEC-25EC-492F-87F4-5B61C2D0DF1A}"/>
    <cellStyle name="Normal 2 18 7" xfId="481" xr:uid="{ADAB59D1-9FFD-458F-9882-EF5B1FBF8CB9}"/>
    <cellStyle name="Normal 2 18 8" xfId="482" xr:uid="{CC30D7D1-3B9F-4216-8856-139E08D95C43}"/>
    <cellStyle name="Normal 2 18 9" xfId="483" xr:uid="{6BE5819A-7646-4BAB-84EE-2678184EA4F3}"/>
    <cellStyle name="Normal 2 19" xfId="484" xr:uid="{700EC8BD-6A39-4A22-8130-7188CCBBA560}"/>
    <cellStyle name="Normal 2 19 10" xfId="485" xr:uid="{F69AAB97-59B0-42D8-9BBA-C43087E85355}"/>
    <cellStyle name="Normal 2 19 11" xfId="486" xr:uid="{0CCEEFF1-02BE-4904-AD05-59DA500CB156}"/>
    <cellStyle name="Normal 2 19 12" xfId="487" xr:uid="{0B2C26CC-029C-4FC7-A152-7DC6A1DAD50E}"/>
    <cellStyle name="Normal 2 19 13" xfId="488" xr:uid="{1E6E8C01-E1CB-45EC-B564-7335EDF0ECA6}"/>
    <cellStyle name="Normal 2 19 14" xfId="489" xr:uid="{54733E62-FEA7-4E4C-B8C2-3E0A197C8158}"/>
    <cellStyle name="Normal 2 19 15" xfId="490" xr:uid="{9FF85CB0-0BE6-4062-83C8-7987D5BDF5A3}"/>
    <cellStyle name="Normal 2 19 16" xfId="491" xr:uid="{AADBBEB3-9B8B-421D-9DD7-18E303172A2C}"/>
    <cellStyle name="Normal 2 19 17" xfId="492" xr:uid="{DDCA98C0-A2D3-4048-9375-4F191D675250}"/>
    <cellStyle name="Normal 2 19 18" xfId="493" xr:uid="{695755B6-BE50-4797-9013-B06B96908E5D}"/>
    <cellStyle name="Normal 2 19 19" xfId="494" xr:uid="{5624398B-B5D3-4FCF-A1E7-FBD694A13D8D}"/>
    <cellStyle name="Normal 2 19 2" xfId="495" xr:uid="{B382E2F9-2841-4156-BC13-B48BF81EA05F}"/>
    <cellStyle name="Normal 2 19 20" xfId="496" xr:uid="{45E7213E-D2C8-48A9-916A-D5A67A8D72AE}"/>
    <cellStyle name="Normal 2 19 21" xfId="497" xr:uid="{70B23E70-EBD8-4942-93E0-2C766CE27D4F}"/>
    <cellStyle name="Normal 2 19 3" xfId="498" xr:uid="{AECF974A-69A2-4E68-97F2-627F75834161}"/>
    <cellStyle name="Normal 2 19 4" xfId="499" xr:uid="{942E0896-8CC4-4108-8F04-60DE8ECBBD00}"/>
    <cellStyle name="Normal 2 19 5" xfId="500" xr:uid="{57FA4A43-5306-44C8-B865-83BA03D4E310}"/>
    <cellStyle name="Normal 2 19 6" xfId="501" xr:uid="{0CB8ED78-2427-41EC-84FD-2577B9F592F3}"/>
    <cellStyle name="Normal 2 19 7" xfId="502" xr:uid="{CBEE03DD-B0ED-48D5-A89B-F7E1A62DBBC3}"/>
    <cellStyle name="Normal 2 19 8" xfId="503" xr:uid="{9DE49BA6-FD27-4145-A0EC-E50FDC6347DB}"/>
    <cellStyle name="Normal 2 19 9" xfId="504" xr:uid="{E9466392-5D1A-4C82-9CB5-8F40999A5980}"/>
    <cellStyle name="Normal 2 2" xfId="505" xr:uid="{5C2E8788-1771-4B80-B42D-A446892AB485}"/>
    <cellStyle name="Normal 2 2 10" xfId="506" xr:uid="{79F006CE-B9EC-48AC-B661-B0D3DFE546A4}"/>
    <cellStyle name="Normal 2 2 11" xfId="507" xr:uid="{7ED687A3-7F2A-48B6-BB76-3F672F2D7ABE}"/>
    <cellStyle name="Normal 2 2 12" xfId="508" xr:uid="{A9CE6EC2-AAEA-4E6D-840B-87A197DFDBC5}"/>
    <cellStyle name="Normal 2 2 13" xfId="509" xr:uid="{11001C79-3A29-4394-B538-B10E0B34D8DA}"/>
    <cellStyle name="Normal 2 2 13 2" xfId="510" xr:uid="{561F5FDE-497B-47F6-B6CC-0A35D4B217E9}"/>
    <cellStyle name="Normal 2 2 13 3" xfId="511" xr:uid="{2F72B9BE-90BE-4113-99B2-1DB7D2AB2BA0}"/>
    <cellStyle name="Normal 2 2 13 4" xfId="512" xr:uid="{EB5B19F6-05CD-493F-B5F1-F075BA44F517}"/>
    <cellStyle name="Normal 2 2 14" xfId="513" xr:uid="{35530A6C-97FA-49CE-ABB3-5F68ED05C85A}"/>
    <cellStyle name="Normal 2 2 15" xfId="514" xr:uid="{D2022EF4-0615-4B52-96C3-FC8D0E0A6508}"/>
    <cellStyle name="Normal 2 2 16" xfId="515" xr:uid="{4AC8BC40-E084-4CBD-92AD-82BF85402916}"/>
    <cellStyle name="Normal 2 2 17" xfId="516" xr:uid="{C57F1674-DC02-49CA-879D-57FBB0AF74B6}"/>
    <cellStyle name="Normal 2 2 18" xfId="517" xr:uid="{CB67FA1F-81A6-4F7E-853D-0F5431F7A687}"/>
    <cellStyle name="Normal 2 2 19" xfId="518" xr:uid="{284F3BD8-9C8F-45F6-9EB3-F13D25748984}"/>
    <cellStyle name="Normal 2 2 19 10" xfId="519" xr:uid="{E689C831-14C9-4316-8825-5C3E2A4B37C2}"/>
    <cellStyle name="Normal 2 2 19 11" xfId="520" xr:uid="{DE3CBEDF-FEF8-497D-A112-41590C9B834D}"/>
    <cellStyle name="Normal 2 2 19 12" xfId="521" xr:uid="{08BAACAC-2F1E-4CEC-B6DB-A90DC4B404C8}"/>
    <cellStyle name="Normal 2 2 19 13" xfId="522" xr:uid="{111A0890-6C8C-4CBE-B376-4BCA1030C70B}"/>
    <cellStyle name="Normal 2 2 19 14" xfId="523" xr:uid="{5FBE45CC-F075-482C-AA3A-0AF12D639680}"/>
    <cellStyle name="Normal 2 2 19 2" xfId="524" xr:uid="{7A77829B-FF62-4D4F-90B6-102C6C0DCFE8}"/>
    <cellStyle name="Normal 2 2 19 3" xfId="525" xr:uid="{BDDCD94A-738A-45E7-BBDB-8B19E0591BB9}"/>
    <cellStyle name="Normal 2 2 19 3 2" xfId="526" xr:uid="{751CBBF8-A06D-4886-A182-6B1C65DF1A89}"/>
    <cellStyle name="Normal 2 2 19 3 3" xfId="527" xr:uid="{F7821A4D-41C0-442F-8188-D1508663CEE8}"/>
    <cellStyle name="Normal 2 2 19 3 4" xfId="528" xr:uid="{1812DEC8-AD18-4563-BDBF-8466F4CA8336}"/>
    <cellStyle name="Normal 2 2 19 3 5" xfId="529" xr:uid="{3DEE8E26-703A-4E9D-A387-8E953850C152}"/>
    <cellStyle name="Normal 2 2 19 4" xfId="530" xr:uid="{061E762A-FD87-4297-BC06-FC385D14D43D}"/>
    <cellStyle name="Normal 2 2 19 4 2" xfId="531" xr:uid="{E25C9F17-8FA4-4994-A482-678BA6D84616}"/>
    <cellStyle name="Normal 2 2 19 4 3" xfId="532" xr:uid="{9E2BC827-3809-4CAB-8504-BDCB8BD02E09}"/>
    <cellStyle name="Normal 2 2 19 4 4" xfId="533" xr:uid="{69572404-F299-4ED0-80E4-BDD7EE2FB8B1}"/>
    <cellStyle name="Normal 2 2 19 4 5" xfId="534" xr:uid="{4FCD7346-1F9F-4F16-881B-041B36FD8DBD}"/>
    <cellStyle name="Normal 2 2 19 5" xfId="535" xr:uid="{F45BDFBD-EC1F-42A9-8DF3-09504D13BFC2}"/>
    <cellStyle name="Normal 2 2 19 5 2" xfId="536" xr:uid="{8825EE32-F35F-4EDD-A518-50C02834448B}"/>
    <cellStyle name="Normal 2 2 19 5 3" xfId="537" xr:uid="{9D30244D-8700-4847-A07C-2ACE13C6FB78}"/>
    <cellStyle name="Normal 2 2 19 5 4" xfId="538" xr:uid="{3718B113-9DB6-429C-860F-B7D29FC6FF4E}"/>
    <cellStyle name="Normal 2 2 19 5 5" xfId="539" xr:uid="{CB6FADA5-49EB-44FD-9D97-21EFA925B6A2}"/>
    <cellStyle name="Normal 2 2 19 6" xfId="540" xr:uid="{054B2332-E886-407A-AC2A-046F0053E9D1}"/>
    <cellStyle name="Normal 2 2 19 6 2" xfId="541" xr:uid="{E58907A3-B051-4293-9F52-87C4B512D413}"/>
    <cellStyle name="Normal 2 2 19 6 3" xfId="542" xr:uid="{4ACBF04C-F9B0-4C19-ADAB-A032A40C35B8}"/>
    <cellStyle name="Normal 2 2 19 6 4" xfId="543" xr:uid="{A5ABAF92-335C-4F69-8C64-946194BB56E0}"/>
    <cellStyle name="Normal 2 2 19 6 5" xfId="544" xr:uid="{6A619672-F8C4-46B0-8A3B-0C5359EA7D5F}"/>
    <cellStyle name="Normal 2 2 19 7" xfId="545" xr:uid="{D5F38CE6-6903-4586-A4A1-ADAD31A49DF2}"/>
    <cellStyle name="Normal 2 2 19 7 2" xfId="546" xr:uid="{75C4581A-3F71-4D59-A75F-9113036A9A29}"/>
    <cellStyle name="Normal 2 2 19 7 3" xfId="547" xr:uid="{B96A6841-C703-4443-B708-D1441611258B}"/>
    <cellStyle name="Normal 2 2 19 7 4" xfId="548" xr:uid="{6ADCC84E-12E4-4002-8497-53004A69DEBC}"/>
    <cellStyle name="Normal 2 2 19 7 5" xfId="549" xr:uid="{2DD1F4A0-DF1E-4D6D-9471-70E83DCF967F}"/>
    <cellStyle name="Normal 2 2 19 8" xfId="550" xr:uid="{8B197550-F882-4DA6-8FCD-5047A4161A15}"/>
    <cellStyle name="Normal 2 2 19 8 2" xfId="551" xr:uid="{07B378D4-237D-43E8-9643-91BC372D90D1}"/>
    <cellStyle name="Normal 2 2 19 8 3" xfId="552" xr:uid="{14D1CAD0-3D8C-41DC-97C6-EDFFC9F80408}"/>
    <cellStyle name="Normal 2 2 19 8 4" xfId="553" xr:uid="{546715C2-583B-4AEB-A887-BFFACB89A8D5}"/>
    <cellStyle name="Normal 2 2 19 8 5" xfId="554" xr:uid="{E36B042F-7F99-4243-9B4B-2F24A0742878}"/>
    <cellStyle name="Normal 2 2 19 9" xfId="555" xr:uid="{917B0065-830F-433D-B5E9-7FE0D7E833D1}"/>
    <cellStyle name="Normal 2 2 19 9 2" xfId="556" xr:uid="{68AA3FCE-0F70-4682-A073-677CDED9C355}"/>
    <cellStyle name="Normal 2 2 19 9 3" xfId="557" xr:uid="{C09327D0-B60C-42CC-B433-19106D600846}"/>
    <cellStyle name="Normal 2 2 19 9 4" xfId="558" xr:uid="{1932671B-7273-499E-B843-D4E496C27F0C}"/>
    <cellStyle name="Normal 2 2 19 9 5" xfId="559" xr:uid="{F6207860-453C-4315-AC01-7B97EFE05437}"/>
    <cellStyle name="Normal 2 2 2" xfId="560" xr:uid="{9D72AA7D-BF9F-49CE-A897-1758F21F81D3}"/>
    <cellStyle name="Normal 2 2 20" xfId="561" xr:uid="{9E714BB5-DAFD-410D-B467-4DCD2C5FAC0F}"/>
    <cellStyle name="Normal 2 2 21" xfId="562" xr:uid="{14F484D9-52F0-4926-9F6A-08CABD998A5D}"/>
    <cellStyle name="Normal 2 2 21 10" xfId="563" xr:uid="{4543B776-4B28-45E4-96D4-797A69DB3D19}"/>
    <cellStyle name="Normal 2 2 21 11" xfId="564" xr:uid="{011AF7DE-CCEE-4B7D-9D71-2C9041654958}"/>
    <cellStyle name="Normal 2 2 21 12" xfId="565" xr:uid="{65EC8BD8-ED3E-47DD-AD5F-DFCAB3E12034}"/>
    <cellStyle name="Normal 2 2 21 13" xfId="566" xr:uid="{60B68A1A-7DE4-4F3C-B83F-2E5ACDEAACEB}"/>
    <cellStyle name="Normal 2 2 21 2" xfId="567" xr:uid="{F4682103-154C-4CC9-A786-CB4EF75CE891}"/>
    <cellStyle name="Normal 2 2 21 3" xfId="568" xr:uid="{9845B084-FEBC-4BCC-91D4-15D2D80D2A6C}"/>
    <cellStyle name="Normal 2 2 21 4" xfId="569" xr:uid="{F5365199-F373-49B3-A24D-7C7662312C1B}"/>
    <cellStyle name="Normal 2 2 21 5" xfId="570" xr:uid="{CA79EDDC-63CB-4C32-9904-E713C65E98E4}"/>
    <cellStyle name="Normal 2 2 21 6" xfId="571" xr:uid="{8628BC3E-4D3C-48F7-8843-15EA0877BADB}"/>
    <cellStyle name="Normal 2 2 21 7" xfId="572" xr:uid="{4B95C8E0-A1BE-4226-992A-6BAE0BD42B17}"/>
    <cellStyle name="Normal 2 2 21 8" xfId="573" xr:uid="{84E2CDCD-C812-4318-8EA2-C791CB89CDA0}"/>
    <cellStyle name="Normal 2 2 21 9" xfId="574" xr:uid="{8BEFB8A9-20DD-454F-A9F7-6B2532A254DF}"/>
    <cellStyle name="Normal 2 2 22" xfId="575" xr:uid="{CB9E0509-EA95-4096-8EFE-86A1989F054C}"/>
    <cellStyle name="Normal 2 2 23" xfId="576" xr:uid="{3187ADA3-5732-46CC-ADA4-D6B118AAE96F}"/>
    <cellStyle name="Normal 2 2 24" xfId="577" xr:uid="{CBCE5254-5589-4F62-884E-3A6A36071982}"/>
    <cellStyle name="Normal 2 2 25" xfId="578" xr:uid="{FE71F6D4-0B27-4D48-8BF0-C5FDF5623A34}"/>
    <cellStyle name="Normal 2 2 26" xfId="579" xr:uid="{1426FD4B-7932-4A09-AE7C-CBC8BB31EDA0}"/>
    <cellStyle name="Normal 2 2 27" xfId="580" xr:uid="{51DB800F-FD1B-4E4A-AA2F-F99641DF30B1}"/>
    <cellStyle name="Normal 2 2 27 2" xfId="581" xr:uid="{01A00122-7F83-4F5C-A93D-7676008FBD2C}"/>
    <cellStyle name="Normal 2 2 27 3" xfId="582" xr:uid="{3122FD5E-0309-4351-B8C1-5F4976332199}"/>
    <cellStyle name="Normal 2 2 27 4" xfId="583" xr:uid="{DAF5B2A1-886F-496A-9126-758A513B1574}"/>
    <cellStyle name="Normal 2 2 27 5" xfId="584" xr:uid="{07B51E18-146E-4B86-9E6F-7F1262FA1D50}"/>
    <cellStyle name="Normal 2 2 28" xfId="585" xr:uid="{F0E2EDC5-FA05-40FF-88A3-F303BF3B19BD}"/>
    <cellStyle name="Normal 2 2 28 2" xfId="586" xr:uid="{799AE2F2-2B2B-4E6D-8100-5F1CA1757C8E}"/>
    <cellStyle name="Normal 2 2 28 3" xfId="587" xr:uid="{50D9393F-D2A8-4C34-94E2-EAE3036BBA60}"/>
    <cellStyle name="Normal 2 2 28 4" xfId="588" xr:uid="{19401821-99BB-45B1-B04F-62E7DFA006CE}"/>
    <cellStyle name="Normal 2 2 28 5" xfId="589" xr:uid="{E0E49641-A5E8-4849-AE7A-416747DCBCFE}"/>
    <cellStyle name="Normal 2 2 29" xfId="590" xr:uid="{A2143269-DBB8-49DC-B9FA-63827F04EF55}"/>
    <cellStyle name="Normal 2 2 29 2" xfId="591" xr:uid="{3CF48051-93F1-4207-A68F-1EF1210FB606}"/>
    <cellStyle name="Normal 2 2 29 3" xfId="592" xr:uid="{DCFE522E-B3B4-40CB-B4CF-AAD02CFBE5A2}"/>
    <cellStyle name="Normal 2 2 29 4" xfId="593" xr:uid="{D80FD46F-E2B6-4EF0-B0A1-736F870B33FE}"/>
    <cellStyle name="Normal 2 2 29 5" xfId="594" xr:uid="{371376E7-B9FC-4DB2-8575-312A4FD11883}"/>
    <cellStyle name="Normal 2 2 3" xfId="595" xr:uid="{416DDEDD-ACC5-4632-A606-760C19319A6E}"/>
    <cellStyle name="Normal 2 2 30" xfId="596" xr:uid="{66107154-8DE5-481A-8B14-776805CFAC7F}"/>
    <cellStyle name="Normal 2 2 30 2" xfId="597" xr:uid="{51D2E989-79E9-4B87-8742-A69BF04D7841}"/>
    <cellStyle name="Normal 2 2 30 3" xfId="598" xr:uid="{3344AE4D-9B69-45C8-A389-E4D62F18E315}"/>
    <cellStyle name="Normal 2 2 30 4" xfId="599" xr:uid="{4D06083D-C24C-470E-AA37-6304B041EEB3}"/>
    <cellStyle name="Normal 2 2 30 5" xfId="600" xr:uid="{EECA243A-CF57-4608-86A2-963166044AD9}"/>
    <cellStyle name="Normal 2 2 31" xfId="601" xr:uid="{66CEA6D4-10F1-4845-84D8-4D73AD174C7B}"/>
    <cellStyle name="Normal 2 2 31 2" xfId="602" xr:uid="{9BBC5273-981C-43D5-BF34-AF50C2F79F0E}"/>
    <cellStyle name="Normal 2 2 31 3" xfId="603" xr:uid="{72E5E4A1-3662-4A98-A17B-7B422FC1755C}"/>
    <cellStyle name="Normal 2 2 31 4" xfId="604" xr:uid="{8ACC8B74-2244-4127-9D4F-F9374850B1A1}"/>
    <cellStyle name="Normal 2 2 31 5" xfId="605" xr:uid="{36406D74-55E3-4E67-A4A1-6DA2EC3C6BD3}"/>
    <cellStyle name="Normal 2 2 32" xfId="606" xr:uid="{BAE32346-F748-4806-A6B3-A89622B4EA00}"/>
    <cellStyle name="Normal 2 2 32 2" xfId="607" xr:uid="{6E5F3C41-66CE-4794-A6CE-AD85227552A1}"/>
    <cellStyle name="Normal 2 2 32 3" xfId="608" xr:uid="{30609CC4-BC0F-4049-A4C3-0834BFC3CFEB}"/>
    <cellStyle name="Normal 2 2 32 4" xfId="609" xr:uid="{E33BBF0C-8E9D-4EDE-8484-7C8772D365FA}"/>
    <cellStyle name="Normal 2 2 32 5" xfId="610" xr:uid="{A8B20F41-1956-4C97-B5FF-12F1AE277D15}"/>
    <cellStyle name="Normal 2 2 33" xfId="611" xr:uid="{C963561D-8F17-48B9-8C91-DEFF0B4B60A6}"/>
    <cellStyle name="Normal 2 2 4" xfId="612" xr:uid="{525851DA-1573-430D-AB3C-48CA31333BC0}"/>
    <cellStyle name="Normal 2 2 5" xfId="613" xr:uid="{F2E64EF9-CC58-4C39-B9FF-23DFA8D4E5E9}"/>
    <cellStyle name="Normal 2 2 6" xfId="614" xr:uid="{777D9916-BB48-4BE2-9ACC-A7DEB4CB27C3}"/>
    <cellStyle name="Normal 2 2 7" xfId="615" xr:uid="{F9D69837-E48B-43F6-A4D6-4079C37B1FF2}"/>
    <cellStyle name="Normal 2 2 8" xfId="616" xr:uid="{D78D3FC4-B702-4A99-A329-E2A1EA8A640E}"/>
    <cellStyle name="Normal 2 2 9" xfId="617" xr:uid="{F102961C-31FE-469E-9FE7-D525FFD9EEB3}"/>
    <cellStyle name="Normal 2 20" xfId="618" xr:uid="{BA0A7081-90CA-499C-86C0-9FA451D1F7B9}"/>
    <cellStyle name="Normal 2 20 10" xfId="619" xr:uid="{90F61859-F1FF-4C24-9E7B-8100A3C3F359}"/>
    <cellStyle name="Normal 2 20 11" xfId="620" xr:uid="{295460B3-42BE-4322-88A3-AEAC4A0EA39F}"/>
    <cellStyle name="Normal 2 20 12" xfId="621" xr:uid="{67051C13-B618-406E-9E0D-EC175E96B07D}"/>
    <cellStyle name="Normal 2 20 13" xfId="622" xr:uid="{9A4EEC6D-38E6-489F-AA2E-48E98298D38D}"/>
    <cellStyle name="Normal 2 20 14" xfId="623" xr:uid="{F29CABA3-5F14-4268-9335-E672498BCC2F}"/>
    <cellStyle name="Normal 2 20 15" xfId="624" xr:uid="{1B5C4C3E-53DE-4F1A-AF2F-660F8894B817}"/>
    <cellStyle name="Normal 2 20 16" xfId="625" xr:uid="{582325A5-C5D3-4F4A-96EF-479FBF68D939}"/>
    <cellStyle name="Normal 2 20 17" xfId="626" xr:uid="{A46CE6C1-1173-4639-8607-B1C6CEEF044F}"/>
    <cellStyle name="Normal 2 20 18" xfId="627" xr:uid="{53D28ADE-35DC-44A0-BAA1-D8EC17ABECF5}"/>
    <cellStyle name="Normal 2 20 19" xfId="628" xr:uid="{B65E7660-37AF-47F0-B090-3A1082679D9D}"/>
    <cellStyle name="Normal 2 20 2" xfId="629" xr:uid="{59AA8F83-37CC-4184-BFE3-EEF80EEB6F27}"/>
    <cellStyle name="Normal 2 20 20" xfId="630" xr:uid="{AB575074-C9C8-4CFC-BEE0-239AD725C7ED}"/>
    <cellStyle name="Normal 2 20 21" xfId="631" xr:uid="{9A639BE3-49E9-4BE2-B4E6-2E47887D77C2}"/>
    <cellStyle name="Normal 2 20 3" xfId="632" xr:uid="{AF2B932C-C511-4E2B-A038-09C83A712015}"/>
    <cellStyle name="Normal 2 20 4" xfId="633" xr:uid="{9B3BC822-BA45-4729-8024-261F0063E0C8}"/>
    <cellStyle name="Normal 2 20 5" xfId="634" xr:uid="{9B8E75A8-7820-458C-B611-4DFFD8F630B9}"/>
    <cellStyle name="Normal 2 20 6" xfId="635" xr:uid="{DB34F1DA-955C-46EB-A154-6567CEB66F87}"/>
    <cellStyle name="Normal 2 20 7" xfId="636" xr:uid="{B95895D1-6ED7-4217-8F38-D757F9215E32}"/>
    <cellStyle name="Normal 2 20 8" xfId="637" xr:uid="{3A4BBA99-DE43-4F16-80FA-C45157BE68F2}"/>
    <cellStyle name="Normal 2 20 9" xfId="638" xr:uid="{FC2C98F7-EEE6-4D62-A9F0-C49CFB40AF12}"/>
    <cellStyle name="Normal 2 21" xfId="639" xr:uid="{3E684790-5CE1-49CB-B7CA-8F4D1AA096F4}"/>
    <cellStyle name="Normal 2 21 10" xfId="640" xr:uid="{F8F2B1EB-A3BD-4D96-8D24-5DCEF71C6B48}"/>
    <cellStyle name="Normal 2 21 11" xfId="641" xr:uid="{336DD09E-3315-423D-A317-3EFF690FE1F3}"/>
    <cellStyle name="Normal 2 21 12" xfId="642" xr:uid="{30FFA7BA-18EC-47B4-B427-C1C758702B2A}"/>
    <cellStyle name="Normal 2 21 13" xfId="643" xr:uid="{842C38E4-C826-49C4-B69F-B829279FE713}"/>
    <cellStyle name="Normal 2 21 14" xfId="644" xr:uid="{F6D4DDDB-71E0-4D58-BC73-B596CA3CE7D6}"/>
    <cellStyle name="Normal 2 21 15" xfId="645" xr:uid="{6F265C72-DAA5-4525-80E9-9F1A7410EFA8}"/>
    <cellStyle name="Normal 2 21 16" xfId="646" xr:uid="{1FF5F109-4AEF-47C3-BE97-C2F52EF180DE}"/>
    <cellStyle name="Normal 2 21 17" xfId="647" xr:uid="{C2362DC8-CE8A-4894-A8B5-94CD0D257622}"/>
    <cellStyle name="Normal 2 21 18" xfId="648" xr:uid="{FE961367-3FDA-40E5-BD31-2E81BD73CB3E}"/>
    <cellStyle name="Normal 2 21 19" xfId="649" xr:uid="{DCAC7E6C-D054-4478-95E3-A7E0531B35E3}"/>
    <cellStyle name="Normal 2 21 2" xfId="650" xr:uid="{6E0B4A95-8F8E-4258-A9EE-2B611B01D5FB}"/>
    <cellStyle name="Normal 2 21 20" xfId="651" xr:uid="{AEA42DF1-D983-40BF-9F76-110ED8C6A41B}"/>
    <cellStyle name="Normal 2 21 21" xfId="652" xr:uid="{EAA4D0EE-773D-4076-AF62-351BFE854797}"/>
    <cellStyle name="Normal 2 21 3" xfId="653" xr:uid="{54976383-D095-4482-906D-2F4AE009634A}"/>
    <cellStyle name="Normal 2 21 4" xfId="654" xr:uid="{D94A561D-7632-4689-A121-1FD7CC8E1BB9}"/>
    <cellStyle name="Normal 2 21 5" xfId="655" xr:uid="{1ED8146C-3B72-4C9A-99E3-0380016E56A0}"/>
    <cellStyle name="Normal 2 21 6" xfId="656" xr:uid="{3A40D4E1-6C44-4E25-97FF-36DC8019D735}"/>
    <cellStyle name="Normal 2 21 7" xfId="657" xr:uid="{DB5D7E05-509D-4D3B-BBF6-6F611B7E2050}"/>
    <cellStyle name="Normal 2 21 8" xfId="658" xr:uid="{23ECEB12-1240-432D-AE38-6774616F49AD}"/>
    <cellStyle name="Normal 2 21 9" xfId="659" xr:uid="{CE8428B0-822D-4B2B-AA00-79A070052891}"/>
    <cellStyle name="Normal 2 22" xfId="660" xr:uid="{1E8E9ABB-F97B-4322-8C74-33653AB98ABE}"/>
    <cellStyle name="Normal 2 22 2" xfId="661" xr:uid="{BBE4013D-7146-48FA-9F39-6BAB85B94905}"/>
    <cellStyle name="Normal 2 22 3" xfId="662" xr:uid="{33B82CB2-7F7F-4D4C-9A89-CA7B98E6ED0F}"/>
    <cellStyle name="Normal 2 22 4" xfId="663" xr:uid="{E193F89C-3013-4E98-A1B7-62C3331E3C08}"/>
    <cellStyle name="Normal 2 22 5" xfId="664" xr:uid="{70202385-B655-422D-8839-46ED645C33AB}"/>
    <cellStyle name="Normal 2 23" xfId="665" xr:uid="{F919265A-E245-4796-9805-AED2F58B1740}"/>
    <cellStyle name="Normal 2 23 2" xfId="666" xr:uid="{4B0D4CCE-F646-49B1-8C71-B3721E96E1AF}"/>
    <cellStyle name="Normal 2 23 3" xfId="667" xr:uid="{4644496A-9C70-4C4B-91EE-3454789D287A}"/>
    <cellStyle name="Normal 2 23 4" xfId="668" xr:uid="{9D787578-CA2A-483E-9C9C-B244E1080E42}"/>
    <cellStyle name="Normal 2 23 5" xfId="669" xr:uid="{74332290-4E24-4FB4-B662-AAD4DB1D2028}"/>
    <cellStyle name="Normal 2 24" xfId="670" xr:uid="{EA36FD8E-261C-44FB-83DF-ACAAA4F30E83}"/>
    <cellStyle name="Normal 2 24 2" xfId="671" xr:uid="{BBB67617-F575-4B80-9037-33823F1053DC}"/>
    <cellStyle name="Normal 2 24 3" xfId="672" xr:uid="{45996BCE-E8A7-46F9-A518-027ECC117FB7}"/>
    <cellStyle name="Normal 2 24 4" xfId="673" xr:uid="{80A12E15-9C4B-4CF3-A444-3246FFED6F07}"/>
    <cellStyle name="Normal 2 24 5" xfId="674" xr:uid="{1E39E1D0-88DB-4747-B697-B7771FA8B9EF}"/>
    <cellStyle name="Normal 2 25" xfId="675" xr:uid="{91D31E9D-8FEF-4B68-84A1-FAC4CD4D84C9}"/>
    <cellStyle name="Normal 2 25 2" xfId="676" xr:uid="{3AB49193-E8E4-448A-BDC9-4B65BB218E2F}"/>
    <cellStyle name="Normal 2 25 3" xfId="677" xr:uid="{3D5CAE73-BBBF-4A75-BCA7-D20FE1419A53}"/>
    <cellStyle name="Normal 2 25 4" xfId="678" xr:uid="{FD4A4EA6-FE79-4244-B791-C0740078BF99}"/>
    <cellStyle name="Normal 2 25 5" xfId="679" xr:uid="{859449B4-63F1-418E-ABE1-F8761AD960F4}"/>
    <cellStyle name="Normal 2 26" xfId="680" xr:uid="{E0E4D353-396E-4D11-AA1E-659A8423D7E0}"/>
    <cellStyle name="Normal 2 26 2" xfId="681" xr:uid="{39301AFA-F222-42DE-9250-C10D94F26D49}"/>
    <cellStyle name="Normal 2 26 2 10" xfId="682" xr:uid="{B0FBF96D-F2FC-4800-8356-2C8361ED4E80}"/>
    <cellStyle name="Normal 2 26 2 11" xfId="683" xr:uid="{A47601FA-2D05-4F82-B8F0-165F83DB98D3}"/>
    <cellStyle name="Normal 2 26 2 12" xfId="684" xr:uid="{38760CAB-B9D2-4606-BDCD-5FD86BAA8479}"/>
    <cellStyle name="Normal 2 26 2 13" xfId="685" xr:uid="{F3093285-31C1-4AC5-8D9C-35E9ABC46AB4}"/>
    <cellStyle name="Normal 2 26 2 2" xfId="686" xr:uid="{F7776650-2912-4CFC-A8E8-AF3AC65F6E06}"/>
    <cellStyle name="Normal 2 26 2 2 2" xfId="687" xr:uid="{22A052D3-E69B-45D4-AC07-D74CEA552758}"/>
    <cellStyle name="Normal 2 26 2 2 3" xfId="688" xr:uid="{059D8478-73FC-4546-8B69-B46FDF280A24}"/>
    <cellStyle name="Normal 2 26 2 2 4" xfId="689" xr:uid="{B6C27F00-1173-427C-9E88-305670BF0E14}"/>
    <cellStyle name="Normal 2 26 2 2 5" xfId="690" xr:uid="{1F7E3163-8216-4871-855B-783A30E1AE71}"/>
    <cellStyle name="Normal 2 26 2 3" xfId="691" xr:uid="{90BE505A-A557-49B7-A58B-7668DE738BA6}"/>
    <cellStyle name="Normal 2 26 2 3 2" xfId="692" xr:uid="{7FEB51CC-57E4-49F5-8144-60440FFA63C3}"/>
    <cellStyle name="Normal 2 26 2 3 3" xfId="693" xr:uid="{1BC4B864-CA97-43FA-B6D2-59071003C7EB}"/>
    <cellStyle name="Normal 2 26 2 3 4" xfId="694" xr:uid="{C1521A19-DC35-4197-9D83-6FB51B203662}"/>
    <cellStyle name="Normal 2 26 2 3 5" xfId="695" xr:uid="{87E730AC-A308-49DD-82D2-295C4F2DFB8F}"/>
    <cellStyle name="Normal 2 26 2 4" xfId="696" xr:uid="{531FFE55-10EA-4838-BC9C-32A8EE738A41}"/>
    <cellStyle name="Normal 2 26 2 4 2" xfId="697" xr:uid="{53753AC0-65F7-4581-BB88-5223BFE4FAD0}"/>
    <cellStyle name="Normal 2 26 2 4 3" xfId="698" xr:uid="{9D909526-BF3F-4B4D-8E5C-950A8DBF9817}"/>
    <cellStyle name="Normal 2 26 2 4 4" xfId="699" xr:uid="{0A5FB858-ADFA-4086-9BED-4B1629E7D1EC}"/>
    <cellStyle name="Normal 2 26 2 4 5" xfId="700" xr:uid="{2A98E11E-F617-4643-8712-9F0A95C4278C}"/>
    <cellStyle name="Normal 2 26 2 5" xfId="701" xr:uid="{3ABB23F5-553D-4D8F-B462-66F4A42B9396}"/>
    <cellStyle name="Normal 2 26 2 5 2" xfId="702" xr:uid="{1639D4B1-8760-40F1-B0B4-2D833D707244}"/>
    <cellStyle name="Normal 2 26 2 5 3" xfId="703" xr:uid="{363F4D3B-2FAE-4E30-9A42-2E3DA02CE356}"/>
    <cellStyle name="Normal 2 26 2 5 4" xfId="704" xr:uid="{C602C1C8-9014-4431-9163-B954BD9C9169}"/>
    <cellStyle name="Normal 2 26 2 5 5" xfId="705" xr:uid="{626D5B5B-4374-43A3-9ED3-B93302511850}"/>
    <cellStyle name="Normal 2 26 2 6" xfId="706" xr:uid="{04F5F595-A04F-43AD-AC88-C96FE53727D9}"/>
    <cellStyle name="Normal 2 26 2 6 2" xfId="707" xr:uid="{8D28267C-6B1A-4B6E-8EB4-CB0E12DC25A8}"/>
    <cellStyle name="Normal 2 26 2 6 3" xfId="708" xr:uid="{E28D4B22-1931-409D-AFC0-FE9B382776B9}"/>
    <cellStyle name="Normal 2 26 2 6 4" xfId="709" xr:uid="{C4714C80-C887-46D4-897D-86D0D784CB70}"/>
    <cellStyle name="Normal 2 26 2 6 5" xfId="710" xr:uid="{CADD9A13-4105-40C5-8192-563E6F1D5BA8}"/>
    <cellStyle name="Normal 2 26 2 7" xfId="711" xr:uid="{A601D58F-A943-4CA2-B8AF-688FEE698C48}"/>
    <cellStyle name="Normal 2 26 2 7 2" xfId="712" xr:uid="{D04FCA51-42E3-4501-A3AF-7F7C9306A4E5}"/>
    <cellStyle name="Normal 2 26 2 7 3" xfId="713" xr:uid="{610CE932-FD8C-4C51-85EF-386698378B9E}"/>
    <cellStyle name="Normal 2 26 2 7 4" xfId="714" xr:uid="{FA7CF1C4-3448-43D9-8123-F2F66B0B9EF0}"/>
    <cellStyle name="Normal 2 26 2 7 5" xfId="715" xr:uid="{04DE97A9-6850-4C16-A0E4-C09615AF3984}"/>
    <cellStyle name="Normal 2 26 2 8" xfId="716" xr:uid="{4766E548-7F6F-4388-8116-2594BBDE7EF0}"/>
    <cellStyle name="Normal 2 26 2 8 2" xfId="717" xr:uid="{BE3E0FB1-6585-4176-9C07-9EE0F05EE656}"/>
    <cellStyle name="Normal 2 26 2 8 3" xfId="718" xr:uid="{9D32CB9F-D1E1-45DA-B75C-803A7BB6CBF2}"/>
    <cellStyle name="Normal 2 26 2 8 4" xfId="719" xr:uid="{180849C8-769B-4D6B-941D-8B9E817D69B0}"/>
    <cellStyle name="Normal 2 26 2 8 5" xfId="720" xr:uid="{064C20AB-3648-4CE1-9CB9-F90C74689904}"/>
    <cellStyle name="Normal 2 26 2 9" xfId="721" xr:uid="{E9343173-701F-4BF7-A417-5CA958AAE565}"/>
    <cellStyle name="Normal 2 26 3" xfId="722" xr:uid="{FCADE178-C00B-4A64-A13B-C6A7155608E4}"/>
    <cellStyle name="Normal 2 26 4" xfId="723" xr:uid="{88970E79-D387-4D2F-A3BC-58FC7628F0A1}"/>
    <cellStyle name="Normal 2 26 5" xfId="724" xr:uid="{7FDDA58E-069D-4224-A2AC-4DD2959E5D48}"/>
    <cellStyle name="Normal 2 27" xfId="725" xr:uid="{0659F5A9-FEB6-45EF-A518-3D9A02A5DB80}"/>
    <cellStyle name="Normal 2 27 10" xfId="726" xr:uid="{E07C2B65-2441-4FB5-B33F-7D69223CB439}"/>
    <cellStyle name="Normal 2 27 11" xfId="727" xr:uid="{5D68D0C3-E4F2-4C74-93B5-A766D9DA2A83}"/>
    <cellStyle name="Normal 2 27 12" xfId="728" xr:uid="{012A7B8F-C2B0-4C7B-82B5-9D6F0BB8D7FB}"/>
    <cellStyle name="Normal 2 27 13" xfId="729" xr:uid="{325DD0E6-7BA3-4FE7-B1AF-C3AD5DBF4872}"/>
    <cellStyle name="Normal 2 27 14" xfId="730" xr:uid="{B8A474F2-8DA7-41D9-9F2C-3436BF31FA24}"/>
    <cellStyle name="Normal 2 27 15" xfId="731" xr:uid="{F0474B7E-62F7-450C-BF26-93E578C4ED66}"/>
    <cellStyle name="Normal 2 27 2" xfId="732" xr:uid="{A93CDA24-600C-4B5A-8360-5BD0B77FCCE1}"/>
    <cellStyle name="Normal 2 27 2 2" xfId="733" xr:uid="{C39AA1FA-940F-46B8-8605-5FA527142606}"/>
    <cellStyle name="Normal 2 27 2 3" xfId="734" xr:uid="{62C3D4CF-C47B-4490-BC76-D72E591DAC29}"/>
    <cellStyle name="Normal 2 27 2 4" xfId="735" xr:uid="{F552EB4D-50F6-49CD-B222-491829628BB0}"/>
    <cellStyle name="Normal 2 27 2 5" xfId="736" xr:uid="{9072EE9B-5FAE-43BC-BC12-7FF8BEB7F0E8}"/>
    <cellStyle name="Normal 2 27 2 6" xfId="737" xr:uid="{9ADBB841-B0A7-478F-865B-C7F37D290DB9}"/>
    <cellStyle name="Normal 2 27 3" xfId="738" xr:uid="{C815CA97-CA62-4C71-9FA6-26DCFD743A5D}"/>
    <cellStyle name="Normal 2 27 3 2" xfId="739" xr:uid="{BB0FC49C-1252-4CBC-B96D-252C02043116}"/>
    <cellStyle name="Normal 2 27 3 3" xfId="740" xr:uid="{7C26F2F1-EE60-42D4-A00D-D1FEAE899FBD}"/>
    <cellStyle name="Normal 2 27 3 4" xfId="741" xr:uid="{E5CB4479-109A-4470-BE8F-BFC48F9F1E0D}"/>
    <cellStyle name="Normal 2 27 3 5" xfId="742" xr:uid="{E1E8C2F3-C84F-4A3D-B655-0D078CBF666A}"/>
    <cellStyle name="Normal 2 27 4" xfId="743" xr:uid="{347E22D8-AFD8-47EC-9FFD-7C52C88B543C}"/>
    <cellStyle name="Normal 2 27 4 2" xfId="744" xr:uid="{034459FD-7DCD-4490-A373-B7589F734723}"/>
    <cellStyle name="Normal 2 27 4 3" xfId="745" xr:uid="{D86676CD-7317-4D4B-8692-88637092720E}"/>
    <cellStyle name="Normal 2 27 4 4" xfId="746" xr:uid="{E4000FEE-065F-45D2-8DCD-1E02C244CD08}"/>
    <cellStyle name="Normal 2 27 4 5" xfId="747" xr:uid="{5C979CEF-2559-48F4-88A9-9261FC88B6A7}"/>
    <cellStyle name="Normal 2 27 5" xfId="748" xr:uid="{E3CD6E21-7F39-4B5F-B239-A2BD1E608CB4}"/>
    <cellStyle name="Normal 2 27 5 2" xfId="749" xr:uid="{0FEB40DC-C5E2-411E-8444-0A725C791E88}"/>
    <cellStyle name="Normal 2 27 5 3" xfId="750" xr:uid="{573C8DFB-C76F-4CDD-92C3-171D41420C3B}"/>
    <cellStyle name="Normal 2 27 5 4" xfId="751" xr:uid="{EDA20213-65D2-4BDF-9E9F-D5885CF14901}"/>
    <cellStyle name="Normal 2 27 5 5" xfId="752" xr:uid="{767A37D3-BCE6-4C48-8C9D-8AB1195891D9}"/>
    <cellStyle name="Normal 2 27 6" xfId="753" xr:uid="{EEC0E208-888B-4A92-BAD5-A3E59ED2EF88}"/>
    <cellStyle name="Normal 2 27 6 2" xfId="754" xr:uid="{8C96C873-2503-40CD-BAF0-D1B368391AED}"/>
    <cellStyle name="Normal 2 27 6 3" xfId="755" xr:uid="{F474BA87-0B2D-4A4F-BB4B-E71FE6F44A45}"/>
    <cellStyle name="Normal 2 27 6 4" xfId="756" xr:uid="{99A6FA72-53AA-434A-BED9-414016CC08D3}"/>
    <cellStyle name="Normal 2 27 6 5" xfId="757" xr:uid="{D5FF7608-E3B9-4BF2-BCC3-9F8795A09D30}"/>
    <cellStyle name="Normal 2 27 7" xfId="758" xr:uid="{A1218EED-CFEF-4294-84FE-E24D26870DC3}"/>
    <cellStyle name="Normal 2 27 7 2" xfId="759" xr:uid="{CEE6E36F-A842-4EA5-A977-904826163430}"/>
    <cellStyle name="Normal 2 27 7 3" xfId="760" xr:uid="{C35E98A6-9B73-4EC9-9DD2-2949F680C16C}"/>
    <cellStyle name="Normal 2 27 7 4" xfId="761" xr:uid="{41C582CF-5060-4BF5-BC35-0B6FACBC8F8E}"/>
    <cellStyle name="Normal 2 27 7 5" xfId="762" xr:uid="{DF344AF8-1857-4D5B-8C6A-9B3ED3287C1E}"/>
    <cellStyle name="Normal 2 27 8" xfId="763" xr:uid="{E86CDA53-9F80-4E52-95DC-F0BD942FB1C6}"/>
    <cellStyle name="Normal 2 27 8 2" xfId="764" xr:uid="{0764A392-D19D-4AF9-95E2-F593EAF5F036}"/>
    <cellStyle name="Normal 2 27 8 3" xfId="765" xr:uid="{FEDB8C1E-63CE-49BE-ADD7-195B1F8E86C4}"/>
    <cellStyle name="Normal 2 27 8 4" xfId="766" xr:uid="{88324352-EF5D-444C-A212-49162B168906}"/>
    <cellStyle name="Normal 2 27 8 5" xfId="767" xr:uid="{F135BCDB-1EA2-4981-9F6D-93CE4161FCD0}"/>
    <cellStyle name="Normal 2 27 9" xfId="768" xr:uid="{9374DAD8-935C-47AE-9E15-3478F25E320C}"/>
    <cellStyle name="Normal 2 28" xfId="769" xr:uid="{9B961190-5556-44D5-A466-F98C8573467A}"/>
    <cellStyle name="Normal 2 28 10" xfId="770" xr:uid="{ECA185D5-740B-4638-AF82-B372A0436F4F}"/>
    <cellStyle name="Normal 2 28 11" xfId="771" xr:uid="{710BD88C-1C2E-4EE9-864F-0334045056E9}"/>
    <cellStyle name="Normal 2 28 12" xfId="772" xr:uid="{DC644EF9-3BC4-4A97-BBFB-555BB0A59A15}"/>
    <cellStyle name="Normal 2 28 13" xfId="773" xr:uid="{DD3ED1BD-45D0-4458-97B9-D1FAC1FAAABC}"/>
    <cellStyle name="Normal 2 28 14" xfId="774" xr:uid="{ACC4F96B-7BF5-4D62-90B0-898900F1550B}"/>
    <cellStyle name="Normal 2 28 2" xfId="775" xr:uid="{196CFB54-B502-4AA0-AF61-EA4BAE0CD42D}"/>
    <cellStyle name="Normal 2 28 2 2" xfId="776" xr:uid="{B7E8A5B1-016F-4837-8BA8-995B373E3234}"/>
    <cellStyle name="Normal 2 28 2 3" xfId="777" xr:uid="{732B834F-DF21-4DB4-AE7B-2000EDC97E3F}"/>
    <cellStyle name="Normal 2 28 2 4" xfId="778" xr:uid="{37EB66DC-2E9C-4164-AA91-6A1B8507B18C}"/>
    <cellStyle name="Normal 2 28 2 5" xfId="779" xr:uid="{C5010F0B-0342-4D37-867B-8E2545B7EE4A}"/>
    <cellStyle name="Normal 2 28 2 6" xfId="780" xr:uid="{06ECFA73-B578-4320-A513-2B6D7DBDF6DD}"/>
    <cellStyle name="Normal 2 28 3" xfId="781" xr:uid="{EA649A2F-B924-438A-8491-B46C8A8BCAEF}"/>
    <cellStyle name="Normal 2 28 3 2" xfId="782" xr:uid="{8FAB38AC-4853-4D65-9212-4A18B6729F20}"/>
    <cellStyle name="Normal 2 28 3 3" xfId="783" xr:uid="{71F9D5B5-9BD9-4C6F-AE9D-B1E133801715}"/>
    <cellStyle name="Normal 2 28 3 4" xfId="784" xr:uid="{06A266CA-85CF-4CF9-9FFA-5636AC193E2B}"/>
    <cellStyle name="Normal 2 28 3 5" xfId="785" xr:uid="{7FD8C8F1-EE28-4245-9D6D-6D9A6F6691CE}"/>
    <cellStyle name="Normal 2 28 3 6" xfId="786" xr:uid="{91E0DDAA-0FDB-4BCD-A328-14CFB5700998}"/>
    <cellStyle name="Normal 2 28 4" xfId="787" xr:uid="{F1A5C9D9-7131-4BB5-9E9F-218165A27982}"/>
    <cellStyle name="Normal 2 28 4 2" xfId="788" xr:uid="{1FB5AB6C-69B3-46F9-B8E5-AF4BFA394F44}"/>
    <cellStyle name="Normal 2 28 4 3" xfId="789" xr:uid="{1D8D8631-B3C2-4B61-A6FC-12AEBD9E66AA}"/>
    <cellStyle name="Normal 2 28 4 4" xfId="790" xr:uid="{1B80A7D7-7F34-4AB3-BC0F-B860FF80ABD5}"/>
    <cellStyle name="Normal 2 28 4 5" xfId="791" xr:uid="{1CA407C8-053C-4651-9FDB-E57EE05150B8}"/>
    <cellStyle name="Normal 2 28 5" xfId="792" xr:uid="{D1AC4359-9548-4FF4-B128-D2A5C3A58388}"/>
    <cellStyle name="Normal 2 28 5 2" xfId="793" xr:uid="{6EB69DE3-C31C-4322-B130-79D3F84C35EF}"/>
    <cellStyle name="Normal 2 28 5 3" xfId="794" xr:uid="{C387BC92-A931-4690-8381-40BF17486C7F}"/>
    <cellStyle name="Normal 2 28 5 4" xfId="795" xr:uid="{B2942EDB-4C7C-43CB-A424-21D270541F2D}"/>
    <cellStyle name="Normal 2 28 5 5" xfId="796" xr:uid="{B2E62701-C6AB-4E23-8660-592D1C0933B7}"/>
    <cellStyle name="Normal 2 28 6" xfId="797" xr:uid="{C8FC6B19-6180-4A40-8643-E9A3F46BE8DE}"/>
    <cellStyle name="Normal 2 28 6 2" xfId="798" xr:uid="{8F07D52C-F112-4A7A-BDA5-6F942DBC7211}"/>
    <cellStyle name="Normal 2 28 6 3" xfId="799" xr:uid="{EBED3FE5-3FFE-4579-BF81-35B8FD207F98}"/>
    <cellStyle name="Normal 2 28 6 4" xfId="800" xr:uid="{CB4AA4AB-930E-4225-9889-21F277BA81A3}"/>
    <cellStyle name="Normal 2 28 6 5" xfId="801" xr:uid="{C3EE4E13-8105-4476-8D06-DB85A1A1FCAF}"/>
    <cellStyle name="Normal 2 28 7" xfId="802" xr:uid="{73894296-4C38-41CD-8BDD-95FA42529131}"/>
    <cellStyle name="Normal 2 28 7 2" xfId="803" xr:uid="{DF58C581-AF0C-4F2D-9B57-FB18E9A86748}"/>
    <cellStyle name="Normal 2 28 7 3" xfId="804" xr:uid="{68F2E308-7321-4B56-BEB3-BB617746BF2F}"/>
    <cellStyle name="Normal 2 28 7 4" xfId="805" xr:uid="{B5B45909-7418-42AC-B82C-433E4E9F7EA6}"/>
    <cellStyle name="Normal 2 28 7 5" xfId="806" xr:uid="{09A224F7-B6DC-4E72-9555-1D57C8FCF267}"/>
    <cellStyle name="Normal 2 28 8" xfId="807" xr:uid="{33749740-9DDF-459D-A871-8E11BCBC4E00}"/>
    <cellStyle name="Normal 2 28 8 2" xfId="808" xr:uid="{02179AFF-3FA0-4092-9624-D230999456B1}"/>
    <cellStyle name="Normal 2 28 8 3" xfId="809" xr:uid="{5B220374-0DFE-432D-A3D8-C4FE9DDE3BF3}"/>
    <cellStyle name="Normal 2 28 8 4" xfId="810" xr:uid="{F0D86D04-2E8F-4AEE-B4D9-6596D25682F4}"/>
    <cellStyle name="Normal 2 28 8 5" xfId="811" xr:uid="{2601CCFF-F6B1-4254-94C3-A12A82E7C1EF}"/>
    <cellStyle name="Normal 2 28 9" xfId="812" xr:uid="{CACCFDE9-6FDA-48ED-932D-02E59D90823F}"/>
    <cellStyle name="Normal 2 29" xfId="813" xr:uid="{C65FF0F4-1BA0-437C-89EB-EC61879E398A}"/>
    <cellStyle name="Normal 2 29 2" xfId="814" xr:uid="{29F8A9B5-0101-4805-B564-8D82611613C8}"/>
    <cellStyle name="Normal 2 29 2 2" xfId="815" xr:uid="{519D8AD6-F99F-4A80-8FE4-7BC4887E213B}"/>
    <cellStyle name="Normal 2 29 2 3" xfId="816" xr:uid="{2BCDD997-02FC-4F76-B0F0-52CC02A719F1}"/>
    <cellStyle name="Normal 2 29 3" xfId="817" xr:uid="{54A690BF-61EA-41B7-894F-1E1C490FDF7D}"/>
    <cellStyle name="Normal 2 29 4" xfId="818" xr:uid="{7EAE2090-C2D5-4FB0-8BEC-FAB020D45938}"/>
    <cellStyle name="Normal 2 29 5" xfId="819" xr:uid="{F13DC587-3DDD-49AB-BDB7-1841BBC5B23A}"/>
    <cellStyle name="Normal 2 29 6" xfId="820" xr:uid="{D8ACAF57-45BE-42B7-AC80-7795BA6BDB34}"/>
    <cellStyle name="Normal 2 29 7" xfId="821" xr:uid="{DA175DE1-1C79-4350-BB78-20428DB5F4EC}"/>
    <cellStyle name="Normal 2 29 8" xfId="822" xr:uid="{3A89547C-C151-4DCD-9F11-2A51AD528AD7}"/>
    <cellStyle name="Normal 2 3" xfId="823" xr:uid="{947AF204-E995-4D6A-A205-1912E48990FC}"/>
    <cellStyle name="Normal 2 3 10" xfId="824" xr:uid="{8514A311-B062-44E4-A21E-14E50432BDEE}"/>
    <cellStyle name="Normal 2 3 11" xfId="825" xr:uid="{69EE2109-EC6F-441F-A69B-E8625E196AA7}"/>
    <cellStyle name="Normal 2 3 12" xfId="826" xr:uid="{65378F4A-3EAB-4158-8937-56EC86E5C2DE}"/>
    <cellStyle name="Normal 2 3 13" xfId="827" xr:uid="{E81F5A59-21B8-4D9C-92CC-5C1AC2C5E307}"/>
    <cellStyle name="Normal 2 3 14" xfId="828" xr:uid="{7D49EF0B-2469-4CEA-AD03-B5FAD141F153}"/>
    <cellStyle name="Normal 2 3 15" xfId="829" xr:uid="{A945CBB1-D865-402C-91E0-34BD3B292181}"/>
    <cellStyle name="Normal 2 3 15 2" xfId="830" xr:uid="{5CE399A5-49BD-40D5-8660-B37B811497D7}"/>
    <cellStyle name="Normal 2 3 16" xfId="831" xr:uid="{57A0609E-52E4-42CB-B7AE-892FD1EB2FDD}"/>
    <cellStyle name="Normal 2 3 17" xfId="832" xr:uid="{0922867D-F5A6-4F4C-BE4A-1E483F7675F2}"/>
    <cellStyle name="Normal 2 3 18" xfId="833" xr:uid="{70E55228-637B-4C31-8E49-0C0DC3D14DCD}"/>
    <cellStyle name="Normal 2 3 19" xfId="834" xr:uid="{FE161369-06AB-441B-A66F-FF5C2D282599}"/>
    <cellStyle name="Normal 2 3 2" xfId="835" xr:uid="{59AA9C8F-3136-4B6F-AFAC-81E83D102649}"/>
    <cellStyle name="Normal 2 3 20" xfId="836" xr:uid="{B544644A-EF48-4F6D-A884-A0F45AA1C80B}"/>
    <cellStyle name="Normal 2 3 21" xfId="837" xr:uid="{F24676BD-D39D-49CE-99D7-5C5D4BC553E5}"/>
    <cellStyle name="Normal 2 3 3" xfId="838" xr:uid="{0A0B6BFB-23DD-4C3A-9DC7-4C00B397C8FB}"/>
    <cellStyle name="Normal 2 3 4" xfId="839" xr:uid="{FDD577E9-F17E-4D5A-ACDC-6946EA5263F3}"/>
    <cellStyle name="Normal 2 3 5" xfId="840" xr:uid="{CFC50E41-4023-4816-B007-4E54FF8B7ED6}"/>
    <cellStyle name="Normal 2 3 6" xfId="841" xr:uid="{F0A96D6F-C5F2-43FB-A792-9A0843A174CB}"/>
    <cellStyle name="Normal 2 3 7" xfId="842" xr:uid="{85DA2E90-3644-41BD-BA30-70C1F12894CC}"/>
    <cellStyle name="Normal 2 3 8" xfId="843" xr:uid="{F6E03268-C297-4469-82B0-AA3623580033}"/>
    <cellStyle name="Normal 2 3 9" xfId="844" xr:uid="{330C571D-B8AE-4BC7-85D9-EBAA2367FC37}"/>
    <cellStyle name="Normal 2 30" xfId="845" xr:uid="{82F05EAE-2A30-4170-BFB3-B84777570BC9}"/>
    <cellStyle name="Normal 2 30 2" xfId="846" xr:uid="{28F37019-8B57-4035-A5C9-55A921F71595}"/>
    <cellStyle name="Normal 2 30 2 2" xfId="847" xr:uid="{EDAD8652-6843-41A9-9E0E-985A40F38039}"/>
    <cellStyle name="Normal 2 30 2 3" xfId="848" xr:uid="{5C1C8FBB-F7D3-4872-93A8-776E285FB320}"/>
    <cellStyle name="Normal 2 30 3" xfId="849" xr:uid="{246CFCAD-CB63-422A-BD31-0F5E46231359}"/>
    <cellStyle name="Normal 2 30 4" xfId="850" xr:uid="{5103C510-4BF9-4BE8-B739-93DE2D3B0A45}"/>
    <cellStyle name="Normal 2 30 5" xfId="851" xr:uid="{E2F6150F-A196-4B58-9A56-814CDCEE8A93}"/>
    <cellStyle name="Normal 2 30 6" xfId="852" xr:uid="{F71038FA-A8EC-43E3-9D9E-7F0BBDFB6B8D}"/>
    <cellStyle name="Normal 2 30 7" xfId="853" xr:uid="{3F66A5A3-7BE1-457E-A413-24D1795B5FB5}"/>
    <cellStyle name="Normal 2 30 8" xfId="854" xr:uid="{83DBAEA3-9669-416F-8B57-4178283C6A93}"/>
    <cellStyle name="Normal 2 31" xfId="855" xr:uid="{F63E94FE-8C02-41E7-A24E-7272D06EDEA5}"/>
    <cellStyle name="Normal 2 31 2" xfId="856" xr:uid="{3B92F274-C494-4798-BCE7-EDC7AF105614}"/>
    <cellStyle name="Normal 2 31 3" xfId="857" xr:uid="{1FAE3229-3683-4A67-AEAE-32DCA4BE19EE}"/>
    <cellStyle name="Normal 2 31 4" xfId="858" xr:uid="{28EEBBA9-6E04-4C2A-91EE-48F267FF2680}"/>
    <cellStyle name="Normal 2 31 5" xfId="859" xr:uid="{B0BDAD5A-7EF9-4A2D-B903-B234508C1B19}"/>
    <cellStyle name="Normal 2 31 6" xfId="860" xr:uid="{BAD46B3F-9071-444D-B044-E5CF7748621E}"/>
    <cellStyle name="Normal 2 32" xfId="861" xr:uid="{1F0AA1DF-DF2C-46B6-A757-FB25DA14FCEC}"/>
    <cellStyle name="Normal 2 32 2" xfId="862" xr:uid="{2DD9F9A0-335B-460C-9234-02D3928A399D}"/>
    <cellStyle name="Normal 2 32 3" xfId="863" xr:uid="{3D9DA62A-26D9-4BF8-8429-A660F2F80C04}"/>
    <cellStyle name="Normal 2 32 4" xfId="864" xr:uid="{C87CF109-3343-4454-BF7F-EA089C5C61F0}"/>
    <cellStyle name="Normal 2 32 5" xfId="865" xr:uid="{1354F8C0-8BEA-4C33-9217-59209FFEA576}"/>
    <cellStyle name="Normal 2 32 6" xfId="866" xr:uid="{D2C76EBD-EA44-413B-80E2-75251CAA7951}"/>
    <cellStyle name="Normal 2 32 7" xfId="867" xr:uid="{D8548F42-7049-4D37-9D27-23B1C8942680}"/>
    <cellStyle name="Normal 2 33" xfId="868" xr:uid="{C079F9AF-43BE-4C1C-85CE-3DB0F5848BBA}"/>
    <cellStyle name="Normal 2 33 2" xfId="869" xr:uid="{41A9926B-3070-4643-B025-091B6263DF11}"/>
    <cellStyle name="Normal 2 33 3" xfId="870" xr:uid="{3251FA60-E7C1-494E-8DAD-525DF6BAA78C}"/>
    <cellStyle name="Normal 2 33 4" xfId="871" xr:uid="{9F8F7AF5-C2E4-4DFD-B6FE-DE8810D47953}"/>
    <cellStyle name="Normal 2 33 5" xfId="872" xr:uid="{C2449535-E16A-4856-9E01-E99B3B560200}"/>
    <cellStyle name="Normal 2 33 6" xfId="873" xr:uid="{3FE16EC0-C670-4088-83F9-08B91B0ECC70}"/>
    <cellStyle name="Normal 2 33 7" xfId="874" xr:uid="{772AF12A-661C-48FE-B397-D0BBD106CFAC}"/>
    <cellStyle name="Normal 2 34" xfId="875" xr:uid="{D9796D4D-87B8-41A9-A8D3-622FF004D74C}"/>
    <cellStyle name="Normal 2 34 2" xfId="876" xr:uid="{A79C0723-E875-42EB-A4F2-0EC4BD1345F8}"/>
    <cellStyle name="Normal 2 34 3" xfId="877" xr:uid="{687FBD7E-66A7-4F00-92AF-5C0E9C83C36C}"/>
    <cellStyle name="Normal 2 34 4" xfId="878" xr:uid="{C509AAF9-87C8-4D57-B5C2-334934CA8614}"/>
    <cellStyle name="Normal 2 34 5" xfId="879" xr:uid="{4A8B8FA9-22C9-496E-8FD7-C89C2DFD8983}"/>
    <cellStyle name="Normal 2 35" xfId="880" xr:uid="{BA03143E-7DE5-45C3-BEB6-0E337CD1FBFB}"/>
    <cellStyle name="Normal 2 35 2" xfId="881" xr:uid="{462E6ED5-046A-482C-9625-B7EE81D0CFFC}"/>
    <cellStyle name="Normal 2 35 3" xfId="882" xr:uid="{14F687EF-7933-40DB-865C-8F02E9424828}"/>
    <cellStyle name="Normal 2 35 4" xfId="883" xr:uid="{DCCBB26B-297F-4106-80CB-7306ABB04653}"/>
    <cellStyle name="Normal 2 35 5" xfId="884" xr:uid="{65143633-4E54-4BE8-9D82-7ECB0A8327FB}"/>
    <cellStyle name="Normal 2 36" xfId="885" xr:uid="{A46DC286-BD58-4A27-8364-1857567F3E81}"/>
    <cellStyle name="Normal 2 36 2" xfId="886" xr:uid="{73C0CE6D-F4E3-4393-8B30-8D770DC2401D}"/>
    <cellStyle name="Normal 2 36 3" xfId="887" xr:uid="{FAA92446-1DAE-4FB0-A588-0E1B81254128}"/>
    <cellStyle name="Normal 2 36 4" xfId="888" xr:uid="{5ADDF57A-542F-484A-93AC-899F8CBDA7BC}"/>
    <cellStyle name="Normal 2 36 5" xfId="889" xr:uid="{5544A28B-428F-4D1D-B22E-05E9A6979E3E}"/>
    <cellStyle name="Normal 2 37" xfId="890" xr:uid="{C61A1CBA-309E-44FE-9103-AE6D34C0046D}"/>
    <cellStyle name="Normal 2 37 2" xfId="891" xr:uid="{967DBF94-98A7-43E5-B773-1B377B71233E}"/>
    <cellStyle name="Normal 2 37 3" xfId="892" xr:uid="{333DD277-5480-4588-82C0-BE5758802724}"/>
    <cellStyle name="Normal 2 37 4" xfId="893" xr:uid="{B88B135F-A0D9-4E60-943E-4C751BD1E50E}"/>
    <cellStyle name="Normal 2 37 5" xfId="894" xr:uid="{6F2DC035-19AB-4B3D-B897-8ABCAA4CC373}"/>
    <cellStyle name="Normal 2 38" xfId="895" xr:uid="{FCE33B2E-496F-4F61-A2C7-B351A374EE3A}"/>
    <cellStyle name="Normal 2 38 2" xfId="896" xr:uid="{64AAE1A9-59AB-49CA-B900-E93ABD07E2A6}"/>
    <cellStyle name="Normal 2 38 3" xfId="897" xr:uid="{D5022D9B-417B-4AF3-BFC6-E5CA32386FCE}"/>
    <cellStyle name="Normal 2 38 4" xfId="898" xr:uid="{C995D0FE-2809-417B-A67B-FA3B4C9328B0}"/>
    <cellStyle name="Normal 2 38 5" xfId="899" xr:uid="{9E839C8B-0377-41A2-9583-0491D001CDB8}"/>
    <cellStyle name="Normal 2 39" xfId="900" xr:uid="{BF9214B4-60BC-44BF-995A-34AF99918F32}"/>
    <cellStyle name="Normal 2 39 2" xfId="901" xr:uid="{7C8005A4-A840-4457-B150-E2AAFB87AF28}"/>
    <cellStyle name="Normal 2 39 3" xfId="902" xr:uid="{70178060-7E39-43FD-BE2D-5E994BE1D32D}"/>
    <cellStyle name="Normal 2 39 4" xfId="903" xr:uid="{08905BCA-8BF5-4F65-933C-9E4BCCD1AE2D}"/>
    <cellStyle name="Normal 2 39 5" xfId="904" xr:uid="{18A8206E-7E37-45FC-B24D-774CB0002969}"/>
    <cellStyle name="Normal 2 4" xfId="905" xr:uid="{3420B3A1-E4B0-42FB-B142-9096C8B6DB37}"/>
    <cellStyle name="Normal 2 4 10" xfId="906" xr:uid="{C5028BB1-A68D-4042-A31D-5CE1BA1DFE00}"/>
    <cellStyle name="Normal 2 4 11" xfId="907" xr:uid="{E3DB4F35-C1A2-4962-A759-7A26352D6B8D}"/>
    <cellStyle name="Normal 2 4 12" xfId="908" xr:uid="{F920F389-675D-441E-99BF-3D2E9865407C}"/>
    <cellStyle name="Normal 2 4 13" xfId="909" xr:uid="{73C6EF22-530F-4EC3-B736-3610A6F91DE7}"/>
    <cellStyle name="Normal 2 4 14" xfId="910" xr:uid="{470D7428-9466-4577-9A43-7F41505124AC}"/>
    <cellStyle name="Normal 2 4 15" xfId="911" xr:uid="{D6A6003C-B963-426A-8AD7-C532D71312ED}"/>
    <cellStyle name="Normal 2 4 15 2" xfId="912" xr:uid="{E2AC0A5C-D3F8-4759-BD34-6F8811C674FE}"/>
    <cellStyle name="Normal 2 4 16" xfId="913" xr:uid="{06C19D05-131F-494B-BD5E-112895260E7B}"/>
    <cellStyle name="Normal 2 4 17" xfId="914" xr:uid="{3211D464-8B1A-4129-9CA1-E71F2F3E9C49}"/>
    <cellStyle name="Normal 2 4 18" xfId="915" xr:uid="{0C6B8BA7-F5AB-4095-A769-BABA7593B5A2}"/>
    <cellStyle name="Normal 2 4 19" xfId="916" xr:uid="{E802039D-5B55-4C79-AA19-5524CBC03A5F}"/>
    <cellStyle name="Normal 2 4 2" xfId="917" xr:uid="{3C30024C-2406-4DF0-9F67-CCD0FE3C6CE2}"/>
    <cellStyle name="Normal 2 4 20" xfId="918" xr:uid="{AA14D9BF-65DE-4267-949C-F9EECB39BD52}"/>
    <cellStyle name="Normal 2 4 21" xfId="919" xr:uid="{A29D1280-D499-4060-9590-82E9785CF184}"/>
    <cellStyle name="Normal 2 4 3" xfId="920" xr:uid="{7493A710-02C1-483A-A09E-45561BD1E0EF}"/>
    <cellStyle name="Normal 2 4 4" xfId="921" xr:uid="{9DE219CC-D189-4AAB-9B62-BA9BE6323C88}"/>
    <cellStyle name="Normal 2 4 5" xfId="922" xr:uid="{22351C93-0360-467E-AC02-9CCE9A3A8F8F}"/>
    <cellStyle name="Normal 2 4 6" xfId="923" xr:uid="{141D9907-FFD4-4D7C-ACC1-F7C6AB4D79CC}"/>
    <cellStyle name="Normal 2 4 7" xfId="924" xr:uid="{0A5544AF-B113-422A-B4A1-F22AA6EC814C}"/>
    <cellStyle name="Normal 2 4 8" xfId="925" xr:uid="{8D497A5F-C070-4956-9B86-41BFD1A8A65C}"/>
    <cellStyle name="Normal 2 4 9" xfId="926" xr:uid="{A004BC52-4FE5-487A-8C53-8D4A3C284545}"/>
    <cellStyle name="Normal 2 40" xfId="927" xr:uid="{D1E473EF-118A-4537-BCD4-6BBDDF752DD8}"/>
    <cellStyle name="Normal 2 40 2" xfId="928" xr:uid="{30604F71-7757-469B-9BB4-0BF46106DB26}"/>
    <cellStyle name="Normal 2 40 3" xfId="929" xr:uid="{ACA1520F-58B7-450A-822E-DA484CF88D1A}"/>
    <cellStyle name="Normal 2 41" xfId="930" xr:uid="{57956EDE-28E4-4F60-8111-5C78057A2386}"/>
    <cellStyle name="Normal 2 41 2" xfId="931" xr:uid="{F4A12ED5-9918-454E-B7B4-F91D5FA10DB5}"/>
    <cellStyle name="Normal 2 41 3" xfId="932" xr:uid="{5991E94A-F475-4603-BE73-1718D24B44E6}"/>
    <cellStyle name="Normal 2 42" xfId="933" xr:uid="{108CF4BE-A8AC-4ED2-BC43-FE9517B6EF8C}"/>
    <cellStyle name="Normal 2 42 10" xfId="934" xr:uid="{6A68F1DF-1769-46A2-A287-64765A10BCFD}"/>
    <cellStyle name="Normal 2 42 11" xfId="935" xr:uid="{00DC0254-E470-4FFA-8ABB-BE4F4647D2A2}"/>
    <cellStyle name="Normal 2 42 12" xfId="936" xr:uid="{E01A5AD0-60DC-4C19-BA20-ADCCA60358B3}"/>
    <cellStyle name="Normal 2 42 2" xfId="937" xr:uid="{51F72811-5388-4D89-A19B-C58DD040B4D8}"/>
    <cellStyle name="Normal 2 42 3" xfId="938" xr:uid="{8DD21EE9-0705-43F0-9C54-8B4D369B2BF1}"/>
    <cellStyle name="Normal 2 42 4" xfId="939" xr:uid="{428356CA-5F22-49F8-AF14-7D8DBEF90C2D}"/>
    <cellStyle name="Normal 2 42 5" xfId="940" xr:uid="{FFBE8A90-2575-4BE2-A260-15850B0BA425}"/>
    <cellStyle name="Normal 2 42 6" xfId="941" xr:uid="{6D343256-4531-4712-A664-993AC5DE669A}"/>
    <cellStyle name="Normal 2 42 7" xfId="942" xr:uid="{6AE06F2C-8C2E-4342-892C-71A419FE1376}"/>
    <cellStyle name="Normal 2 42 8" xfId="943" xr:uid="{85EBD732-D976-4D76-B76D-D2874D716736}"/>
    <cellStyle name="Normal 2 42 9" xfId="944" xr:uid="{905857F6-AC4B-4A9F-A46C-1B36B4A9853E}"/>
    <cellStyle name="Normal 2 43" xfId="945" xr:uid="{97BEBCCE-CDEA-4D7E-920C-9B38F8213C3D}"/>
    <cellStyle name="Normal 2 43 2" xfId="946" xr:uid="{2F9228E5-E06E-4069-8837-2D6C2E2DCC9C}"/>
    <cellStyle name="Normal 2 43 3" xfId="947" xr:uid="{F8F66AC0-BC51-4FDC-AC98-DF773303BCD0}"/>
    <cellStyle name="Normal 2 44" xfId="948" xr:uid="{8C25F1A5-9D5C-4CA5-84D4-1480989AC2D1}"/>
    <cellStyle name="Normal 2 44 2" xfId="949" xr:uid="{C746F570-BB35-45FF-9D08-71A28D506409}"/>
    <cellStyle name="Normal 2 44 3" xfId="950" xr:uid="{C70DEB4E-74A2-43FB-9295-6567321D4082}"/>
    <cellStyle name="Normal 2 45" xfId="951" xr:uid="{09A76E47-1670-4F6B-A4BD-4386924F7250}"/>
    <cellStyle name="Normal 2 45 2" xfId="952" xr:uid="{2F6738E6-FBDA-4E9B-9188-383BD1EFD8C2}"/>
    <cellStyle name="Normal 2 46" xfId="953" xr:uid="{78E55336-BD18-4C8C-B57E-DC18E458F0D9}"/>
    <cellStyle name="Normal 2 47" xfId="954" xr:uid="{1151658A-A9A9-4855-9BA1-E19B8583AE11}"/>
    <cellStyle name="Normal 2 47 2" xfId="955" xr:uid="{A013BB87-C5F3-4B7C-A8AF-941963F69374}"/>
    <cellStyle name="Normal 2 47 3" xfId="956" xr:uid="{6C5C98D1-DE4B-4A75-A59F-1FEC46CB6DEA}"/>
    <cellStyle name="Normal 2 48" xfId="957" xr:uid="{630CE568-D69B-476B-BEF9-F5C842432D26}"/>
    <cellStyle name="Normal 2 48 2" xfId="958" xr:uid="{26D4B523-E0FE-4A58-9EF2-08AC37AFFD94}"/>
    <cellStyle name="Normal 2 48 3" xfId="959" xr:uid="{748E6BF4-1DD4-4F06-B3F1-3A1D7E38A93D}"/>
    <cellStyle name="Normal 2 49" xfId="960" xr:uid="{2143FEC7-BA66-43EA-8959-F60C954D46E7}"/>
    <cellStyle name="Normal 2 5" xfId="961" xr:uid="{95900ADC-6FCE-41A6-AFBB-67169D27F8D7}"/>
    <cellStyle name="Normal 2 5 10" xfId="962" xr:uid="{3D297345-7BA3-40C1-8A96-8768FC6A2A0E}"/>
    <cellStyle name="Normal 2 5 11" xfId="963" xr:uid="{1DA27634-81B3-4FC8-A073-3B2D587258EF}"/>
    <cellStyle name="Normal 2 5 12" xfId="964" xr:uid="{3B83D6CB-7D15-4943-8E8D-9D20B3F3AC46}"/>
    <cellStyle name="Normal 2 5 13" xfId="965" xr:uid="{F6842402-792B-486C-9841-18B25575D071}"/>
    <cellStyle name="Normal 2 5 14" xfId="966" xr:uid="{3C71EC85-7553-4AAA-906C-3C23E13D6B1F}"/>
    <cellStyle name="Normal 2 5 15" xfId="967" xr:uid="{4923CF7F-0237-4129-86C0-99BA10157A82}"/>
    <cellStyle name="Normal 2 5 16" xfId="968" xr:uid="{35DC3106-80D3-4BF9-AEDA-D68E3E3E6289}"/>
    <cellStyle name="Normal 2 5 17" xfId="969" xr:uid="{0AD750FB-D40D-4635-A2AC-644CA1200FB9}"/>
    <cellStyle name="Normal 2 5 18" xfId="970" xr:uid="{6360168D-D3BB-4D37-B88E-58223432110D}"/>
    <cellStyle name="Normal 2 5 19" xfId="971" xr:uid="{D208BE28-9265-45B1-9834-408DCF7E5A7F}"/>
    <cellStyle name="Normal 2 5 2" xfId="972" xr:uid="{62325CFD-F5B1-4900-AE93-F1308DD7BC87}"/>
    <cellStyle name="Normal 2 5 20" xfId="973" xr:uid="{67E10A49-6D1F-420C-A23D-55F91FF71E50}"/>
    <cellStyle name="Normal 2 5 21" xfId="974" xr:uid="{117FC552-455C-412B-9EB8-9C945A667CA7}"/>
    <cellStyle name="Normal 2 5 3" xfId="975" xr:uid="{969D556A-79DB-4E51-BB26-F7E8F73AD95E}"/>
    <cellStyle name="Normal 2 5 4" xfId="976" xr:uid="{3EE15FBA-A457-491E-A973-5543EB74940E}"/>
    <cellStyle name="Normal 2 5 5" xfId="977" xr:uid="{544977D4-2BE7-4F99-A27D-023E27E83548}"/>
    <cellStyle name="Normal 2 5 6" xfId="978" xr:uid="{76DFBDF3-E32D-482D-BE29-58951916E663}"/>
    <cellStyle name="Normal 2 5 7" xfId="979" xr:uid="{A4C99DC7-3468-4469-8734-49D7D65994C9}"/>
    <cellStyle name="Normal 2 5 8" xfId="980" xr:uid="{380534F4-20BD-44E6-8B9A-992F6D77AC65}"/>
    <cellStyle name="Normal 2 5 9" xfId="981" xr:uid="{A72775FB-652B-4850-A891-C89871A7E635}"/>
    <cellStyle name="Normal 2 50" xfId="982" xr:uid="{1F7D39D9-52FA-42B7-8E8F-BD1850A87BE8}"/>
    <cellStyle name="Normal 2 51" xfId="983" xr:uid="{A2A9BC90-4573-4255-B051-27541EE8A681}"/>
    <cellStyle name="Normal 2 52" xfId="984" xr:uid="{F1BEB7CA-9E96-49ED-B8EF-1D48F39E5B59}"/>
    <cellStyle name="Normal 2 53" xfId="985" xr:uid="{FC632FEE-148E-4FA4-B0F8-DA7185C1F069}"/>
    <cellStyle name="Normal 2 54" xfId="986" xr:uid="{FAF7A5E9-7FA6-4BBE-B278-2F08BCC43700}"/>
    <cellStyle name="Normal 2 6" xfId="987" xr:uid="{82E227CB-8FEA-4F1E-8784-8DEC8B1611D7}"/>
    <cellStyle name="Normal 2 6 10" xfId="988" xr:uid="{F00D4D61-D895-4D79-9685-1FD051008BF1}"/>
    <cellStyle name="Normal 2 6 11" xfId="989" xr:uid="{6BE0042E-60D2-4D99-93EC-C0DED14F2C61}"/>
    <cellStyle name="Normal 2 6 12" xfId="990" xr:uid="{E93162EB-ADA2-4B7B-84F7-4EEEFBF47F74}"/>
    <cellStyle name="Normal 2 6 13" xfId="991" xr:uid="{662FBED8-3E24-4C5F-BC3E-2D9D79D84C91}"/>
    <cellStyle name="Normal 2 6 14" xfId="992" xr:uid="{FF03AA93-1470-4072-BF4A-7BBE1EA762D9}"/>
    <cellStyle name="Normal 2 6 15" xfId="993" xr:uid="{FFB32CDD-A108-4655-BB07-EB22EC8C0578}"/>
    <cellStyle name="Normal 2 6 16" xfId="994" xr:uid="{4CE17C45-F4A5-4033-8864-46A593AC3906}"/>
    <cellStyle name="Normal 2 6 17" xfId="995" xr:uid="{E86144F9-FA6D-4B10-B273-277EF582831D}"/>
    <cellStyle name="Normal 2 6 18" xfId="996" xr:uid="{29046437-7A19-4EA0-B46F-2ED87D83B284}"/>
    <cellStyle name="Normal 2 6 19" xfId="997" xr:uid="{13666E87-0462-4FA5-8D6C-A6488F6A434B}"/>
    <cellStyle name="Normal 2 6 2" xfId="998" xr:uid="{BC41F904-8774-4EC7-A6D7-E53405DE5D58}"/>
    <cellStyle name="Normal 2 6 20" xfId="999" xr:uid="{CCF65E2C-53A9-4C58-ADA6-85B62387514E}"/>
    <cellStyle name="Normal 2 6 21" xfId="1000" xr:uid="{D88F39E9-3941-43FD-8844-9A7ECF0D6458}"/>
    <cellStyle name="Normal 2 6 3" xfId="1001" xr:uid="{10A5502A-D9CC-497D-9D72-D3806EAA6B74}"/>
    <cellStyle name="Normal 2 6 4" xfId="1002" xr:uid="{3FF4C75D-C2C0-4ECD-9F52-977CACD7C537}"/>
    <cellStyle name="Normal 2 6 5" xfId="1003" xr:uid="{E5F2588F-DBAB-44FD-B332-EA53638957C1}"/>
    <cellStyle name="Normal 2 6 6" xfId="1004" xr:uid="{4F1C7763-2A42-44B4-8BB3-C384CA7608CA}"/>
    <cellStyle name="Normal 2 6 7" xfId="1005" xr:uid="{B9CE766B-DF7B-4DC9-BACB-1E834655B527}"/>
    <cellStyle name="Normal 2 6 8" xfId="1006" xr:uid="{80617CB2-6874-4534-BC32-BE7AC6DE4BF3}"/>
    <cellStyle name="Normal 2 6 9" xfId="1007" xr:uid="{9F232422-2CC8-4DCA-8796-C48F50F06ED3}"/>
    <cellStyle name="Normal 2 7" xfId="1008" xr:uid="{3D0434EB-28BF-458C-AB8C-825A710741FC}"/>
    <cellStyle name="Normal 2 7 10" xfId="1009" xr:uid="{AE4A9E68-67CF-4FE7-9B8B-924492B653E7}"/>
    <cellStyle name="Normal 2 7 11" xfId="1010" xr:uid="{33B744F1-EDCA-4DEF-A01D-A646CDEFA0C8}"/>
    <cellStyle name="Normal 2 7 12" xfId="1011" xr:uid="{32269BF1-E5AE-4186-9AB5-5C9D83AFDCE4}"/>
    <cellStyle name="Normal 2 7 13" xfId="1012" xr:uid="{D79CBC31-975A-4ADB-9556-A69D3B5C0C60}"/>
    <cellStyle name="Normal 2 7 14" xfId="1013" xr:uid="{0CBF9815-7438-4F4F-94D6-3A7822637CE1}"/>
    <cellStyle name="Normal 2 7 15" xfId="1014" xr:uid="{221A7446-12EA-415D-A395-D4D02CD048F9}"/>
    <cellStyle name="Normal 2 7 16" xfId="1015" xr:uid="{A9C075C9-8A05-4AB6-9158-FEBE5906DCB8}"/>
    <cellStyle name="Normal 2 7 17" xfId="1016" xr:uid="{F5BEBB86-22D5-414B-89C3-889404C773AC}"/>
    <cellStyle name="Normal 2 7 18" xfId="1017" xr:uid="{AAB5FAF3-AA04-4FAC-8482-42CDD7B07578}"/>
    <cellStyle name="Normal 2 7 19" xfId="1018" xr:uid="{3755ABA7-D673-4DED-A7C0-776BB526D157}"/>
    <cellStyle name="Normal 2 7 2" xfId="1019" xr:uid="{06AED4F7-5097-4AF7-8AF9-57EC21D31CD4}"/>
    <cellStyle name="Normal 2 7 20" xfId="1020" xr:uid="{18EE6E7A-09AC-4B56-9C1D-3D26E0A65A8C}"/>
    <cellStyle name="Normal 2 7 21" xfId="1021" xr:uid="{5E9454CB-E1DF-43C7-BA7F-68877602C3F3}"/>
    <cellStyle name="Normal 2 7 3" xfId="1022" xr:uid="{AEF20F8D-8669-4D99-BA10-CA96FCBAADB0}"/>
    <cellStyle name="Normal 2 7 4" xfId="1023" xr:uid="{23256CA4-4A57-4BA7-8005-BFE03C3C11FC}"/>
    <cellStyle name="Normal 2 7 5" xfId="1024" xr:uid="{75E33596-DEBC-47CE-804C-1DF7AE8D4FB7}"/>
    <cellStyle name="Normal 2 7 6" xfId="1025" xr:uid="{C71746BE-84DB-4D7F-B0AC-36DF512119F7}"/>
    <cellStyle name="Normal 2 7 7" xfId="1026" xr:uid="{E1349CBB-71EB-4915-9B68-C58D5ABF601B}"/>
    <cellStyle name="Normal 2 7 8" xfId="1027" xr:uid="{A885A0FF-DBDD-4B1B-B9CA-8BE55C46BD59}"/>
    <cellStyle name="Normal 2 7 9" xfId="1028" xr:uid="{63FA8CAD-95A8-4BE6-9828-3F44FA3AE82C}"/>
    <cellStyle name="Normal 2 8" xfId="1029" xr:uid="{8739C54A-15C8-4861-8FC8-573452BB3306}"/>
    <cellStyle name="Normal 2 8 10" xfId="1030" xr:uid="{9D67AAEA-B725-428A-84EF-F78D3939C376}"/>
    <cellStyle name="Normal 2 8 11" xfId="1031" xr:uid="{D6CA2078-7C9C-4F3C-8E11-7EAD424A8D46}"/>
    <cellStyle name="Normal 2 8 12" xfId="1032" xr:uid="{B784C335-5F18-4264-AF30-081E7A07C510}"/>
    <cellStyle name="Normal 2 8 13" xfId="1033" xr:uid="{B7FA49D8-71EB-4E50-A849-E1CBD3AA300C}"/>
    <cellStyle name="Normal 2 8 14" xfId="1034" xr:uid="{AEEC1515-7571-4705-AE21-AA851579739A}"/>
    <cellStyle name="Normal 2 8 15" xfId="1035" xr:uid="{8715FB5C-8387-44FC-B867-E1294C533882}"/>
    <cellStyle name="Normal 2 8 16" xfId="1036" xr:uid="{64063159-DA75-47CD-A06E-8850CADDE849}"/>
    <cellStyle name="Normal 2 8 17" xfId="1037" xr:uid="{9A099BB8-832B-4FE3-B9DF-9DA5E7E98050}"/>
    <cellStyle name="Normal 2 8 18" xfId="1038" xr:uid="{DF375151-0C71-4264-B478-92902699148D}"/>
    <cellStyle name="Normal 2 8 19" xfId="1039" xr:uid="{63AA98DB-8A67-4521-BFE7-583C51C17A6B}"/>
    <cellStyle name="Normal 2 8 2" xfId="1040" xr:uid="{B410361F-E629-4B56-9A80-C3B2530AC45C}"/>
    <cellStyle name="Normal 2 8 20" xfId="1041" xr:uid="{7312D9F3-5786-42E3-A97C-AD3186C9DBA6}"/>
    <cellStyle name="Normal 2 8 21" xfId="1042" xr:uid="{FA94225F-065E-4D7A-B6AB-37509B48F15D}"/>
    <cellStyle name="Normal 2 8 3" xfId="1043" xr:uid="{7E7FEEED-CE02-45BA-AAB1-EA9512BB0EE6}"/>
    <cellStyle name="Normal 2 8 4" xfId="1044" xr:uid="{B82437CB-46AE-4162-80FF-F9B3152D2153}"/>
    <cellStyle name="Normal 2 8 5" xfId="1045" xr:uid="{468A56D4-460F-496C-ABDA-5F9D3131B83C}"/>
    <cellStyle name="Normal 2 8 6" xfId="1046" xr:uid="{298668F5-F6E7-4AC7-96A5-F7E248D5A74F}"/>
    <cellStyle name="Normal 2 8 7" xfId="1047" xr:uid="{DA0CA4EB-44CB-4AEB-B3D1-FF687B3F0BD8}"/>
    <cellStyle name="Normal 2 8 8" xfId="1048" xr:uid="{E4FB5FDC-30DF-4302-84BB-8364F0EE0028}"/>
    <cellStyle name="Normal 2 8 9" xfId="1049" xr:uid="{1CEEE8DA-717D-4FE5-A9DC-E3844ACC636F}"/>
    <cellStyle name="Normal 2 9" xfId="1050" xr:uid="{9841AEBE-CC1C-4830-854B-6CDDBFDD6244}"/>
    <cellStyle name="Normal 2 9 10" xfId="1051" xr:uid="{2E0B7C5C-A1A9-4355-ADEE-E946B8440EE7}"/>
    <cellStyle name="Normal 2 9 11" xfId="1052" xr:uid="{ADCE22CD-72FF-48AB-8F1A-525294268D5F}"/>
    <cellStyle name="Normal 2 9 12" xfId="1053" xr:uid="{A751F3BE-3B6E-4E48-9398-9D10093A7441}"/>
    <cellStyle name="Normal 2 9 13" xfId="1054" xr:uid="{E967FC3D-D322-4986-A63B-894A21007EA0}"/>
    <cellStyle name="Normal 2 9 14" xfId="1055" xr:uid="{E54B4829-D944-4060-86D2-F4D866492E09}"/>
    <cellStyle name="Normal 2 9 15" xfId="1056" xr:uid="{0B9F0CF5-7500-4FF8-9507-15888345E401}"/>
    <cellStyle name="Normal 2 9 16" xfId="1057" xr:uid="{5C74564B-DDF9-4A2B-83BF-FEE50E524081}"/>
    <cellStyle name="Normal 2 9 17" xfId="1058" xr:uid="{C7C51D3F-DC4A-45AC-958C-3F2C2F832B83}"/>
    <cellStyle name="Normal 2 9 18" xfId="1059" xr:uid="{57BE923C-0C80-4AB4-BCF3-AA6A7C7BD783}"/>
    <cellStyle name="Normal 2 9 19" xfId="1060" xr:uid="{64BE18A7-EFD6-4245-A1E3-FC3D32B4FC13}"/>
    <cellStyle name="Normal 2 9 2" xfId="1061" xr:uid="{D5BC2A73-AD50-49C1-A2CA-2FAC2852E012}"/>
    <cellStyle name="Normal 2 9 20" xfId="1062" xr:uid="{25675E9D-DB9D-484F-96D4-FAA9B269AB56}"/>
    <cellStyle name="Normal 2 9 21" xfId="1063" xr:uid="{3152424D-A29C-4CFC-A19A-02A93E2BF508}"/>
    <cellStyle name="Normal 2 9 3" xfId="1064" xr:uid="{A084CFDC-B898-43AF-B396-F37CA5A0072D}"/>
    <cellStyle name="Normal 2 9 4" xfId="1065" xr:uid="{EF09705A-1C7B-46D6-BFF1-D08B5C7712B1}"/>
    <cellStyle name="Normal 2 9 5" xfId="1066" xr:uid="{0F1389A1-AC6F-4EC2-A61E-1B63232B0553}"/>
    <cellStyle name="Normal 2 9 6" xfId="1067" xr:uid="{A4EB883B-31A1-4C87-A74D-412BC8320EB6}"/>
    <cellStyle name="Normal 2 9 7" xfId="1068" xr:uid="{436318D8-0E4B-4AD8-B9C2-7502BC97C94E}"/>
    <cellStyle name="Normal 2 9 8" xfId="1069" xr:uid="{B4FE0041-A59F-4C97-99C4-7630831A31F2}"/>
    <cellStyle name="Normal 2 9 9" xfId="1070" xr:uid="{B24B143C-98C1-4B8C-A787-5BB0CD037456}"/>
    <cellStyle name="Normal 20" xfId="1071" xr:uid="{C789C1BC-C3EF-4420-BE4A-683ED1458DB4}"/>
    <cellStyle name="Normal 20 2" xfId="1072" xr:uid="{D3DA2A6C-BEA3-4F3D-89E9-E4FB974DC9D7}"/>
    <cellStyle name="Normal 20 3" xfId="1073" xr:uid="{076AE1A0-C799-436E-B39F-9DD06EECEC82}"/>
    <cellStyle name="Normal 20 4" xfId="1074" xr:uid="{A73542FE-272B-4A6B-8B86-CFD1179852C8}"/>
    <cellStyle name="Normal 20 5" xfId="1075" xr:uid="{29557C61-CC56-4826-AC40-82F2695C8083}"/>
    <cellStyle name="Normal 20 6" xfId="1076" xr:uid="{3036DCD0-54F8-4BCA-A501-464B57D0D062}"/>
    <cellStyle name="Normal 21" xfId="1077" xr:uid="{95909AFF-F341-4C78-8A6E-118888EB1913}"/>
    <cellStyle name="Normal 21 2" xfId="1078" xr:uid="{9A8489EB-C7DE-4833-8FC8-07D11F91BC11}"/>
    <cellStyle name="Normal 21 3" xfId="1079" xr:uid="{D72B4BEA-2606-4FB2-A77F-D99C59E9E946}"/>
    <cellStyle name="Normal 21 4" xfId="1080" xr:uid="{E5022935-8730-47A3-A7A0-D8BD667DD33E}"/>
    <cellStyle name="Normal 21 5" xfId="1081" xr:uid="{87D6FF95-2AEB-494E-92B9-058855B73060}"/>
    <cellStyle name="Normal 21 6" xfId="1082" xr:uid="{E8C183AA-8BA6-42B1-BB62-0460384ABEA8}"/>
    <cellStyle name="Normal 22" xfId="1083" xr:uid="{F9C0A437-7B77-459C-A7D1-BE17F1BEA428}"/>
    <cellStyle name="Normal 23" xfId="1084" xr:uid="{4771A051-9DEC-45F7-AA43-A3A02318F941}"/>
    <cellStyle name="Normal 24" xfId="1085" xr:uid="{2871D519-8C9E-436E-BE73-37689EB68E7A}"/>
    <cellStyle name="Normal 24 3" xfId="1086" xr:uid="{A2EFA475-95AB-4299-921D-7E5B3DA09A16}"/>
    <cellStyle name="Normal 25" xfId="1087" xr:uid="{EB29609E-606C-441D-A4B6-4404E205715C}"/>
    <cellStyle name="Normal 26" xfId="1088" xr:uid="{5BA2D7B6-E17D-4736-841B-7218BBB44BC5}"/>
    <cellStyle name="Normal 27" xfId="1089" xr:uid="{90AA4A46-D064-4DBD-9497-8ED764DD0220}"/>
    <cellStyle name="Normal 28" xfId="1090" xr:uid="{7FA39638-01DC-48F6-8989-8D8444A46F5D}"/>
    <cellStyle name="Normal 29" xfId="1091" xr:uid="{70D2E135-220B-4EBB-A2A0-6DB1C37533A0}"/>
    <cellStyle name="Normal 3" xfId="1092" xr:uid="{FEB0CF59-90D4-4A8D-96AC-B58E3B19E48E}"/>
    <cellStyle name="Normal 3 10" xfId="1093" xr:uid="{13492BE6-A82B-4427-B293-601FDEEA40D2}"/>
    <cellStyle name="Normal 3 11" xfId="1094" xr:uid="{3BD356E9-2C0F-46DB-9F56-02501877CDF8}"/>
    <cellStyle name="Normal 3 12" xfId="1095" xr:uid="{128AA6FB-C86D-4EC0-A304-95A60AF93ED0}"/>
    <cellStyle name="Normal 3 13" xfId="1096" xr:uid="{B4A3F117-64BC-4A14-9C45-42101DA06BC7}"/>
    <cellStyle name="Normal 3 14" xfId="1097" xr:uid="{D052AC2F-83DC-4F59-BBA4-97409D047EBD}"/>
    <cellStyle name="Normal 3 15" xfId="1098" xr:uid="{F9C683E5-9010-4A08-ACCA-FE686FB5308A}"/>
    <cellStyle name="Normal 3 16" xfId="1099" xr:uid="{4F31C8FB-51A9-49E6-BBEA-6F98695DA69D}"/>
    <cellStyle name="Normal 3 17" xfId="1100" xr:uid="{742B30B7-EDFB-4019-9FA8-3986C45D550B}"/>
    <cellStyle name="Normal 3 18" xfId="1101" xr:uid="{6C874022-B753-4FEB-BB5F-AD9C22B83CEF}"/>
    <cellStyle name="Normal 3 19" xfId="1102" xr:uid="{CAEB496F-FEFD-4EF5-AE6B-5E20F1B6B83A}"/>
    <cellStyle name="Normal 3 2" xfId="1103" xr:uid="{210EA28C-6D8B-46F8-B4EE-17A272B6D5F4}"/>
    <cellStyle name="Normal 3 2 2" xfId="1104" xr:uid="{CAFA999E-DD56-4998-9C08-C0454C5B71AE}"/>
    <cellStyle name="Normal 3 2 2 2" xfId="1105" xr:uid="{2EA39126-679D-468F-A06B-5705CB0FC094}"/>
    <cellStyle name="Normal 3 2 3" xfId="1106" xr:uid="{FDA90609-8C7E-4D11-BBFA-71704233A1C3}"/>
    <cellStyle name="Normal 3 2 4" xfId="1107" xr:uid="{15E50ED5-99AB-4559-A82D-6B7790E65405}"/>
    <cellStyle name="Normal 3 20" xfId="1108" xr:uid="{1CB06582-E3A7-4D1D-AB07-B27DE6601880}"/>
    <cellStyle name="Normal 3 21" xfId="1109" xr:uid="{CCCC3E17-2BC5-4E44-8D0B-BC7BF7A93908}"/>
    <cellStyle name="Normal 3 22" xfId="1110" xr:uid="{74FDD866-CA13-4852-AA54-F5FE56115F93}"/>
    <cellStyle name="Normal 3 23" xfId="1111" xr:uid="{C526358E-55F7-4EE0-A1C2-F2D74C9D54C0}"/>
    <cellStyle name="Normal 3 24" xfId="1112" xr:uid="{CDCDCC5D-B654-4127-BD4E-98548A439640}"/>
    <cellStyle name="Normal 3 25" xfId="1113" xr:uid="{20480811-DCF2-43CD-B002-4EB6A61FA35C}"/>
    <cellStyle name="Normal 3 26" xfId="1114" xr:uid="{74B17C20-DCA5-4303-99BC-2E42DB55B164}"/>
    <cellStyle name="Normal 3 27" xfId="1115" xr:uid="{05869D99-CDC0-4DCE-AAAF-139FC768BA4B}"/>
    <cellStyle name="Normal 3 28" xfId="1116" xr:uid="{8975BB95-C7D6-40A0-94F7-83890AEC7F1A}"/>
    <cellStyle name="Normal 3 29" xfId="1117" xr:uid="{3E7B3B88-9EF7-47CE-BF84-897FFED05D74}"/>
    <cellStyle name="Normal 3 3" xfId="1118" xr:uid="{142E16B6-D3FD-4CC5-AD53-DDE83AD0EF4D}"/>
    <cellStyle name="Normal 3 30" xfId="1119" xr:uid="{BCCD2A9C-643C-4F65-A7FE-AA4243AF1C8F}"/>
    <cellStyle name="Normal 3 31" xfId="1120" xr:uid="{E72DA58F-5AEA-4832-9F1B-FF2308C50949}"/>
    <cellStyle name="Normal 3 32" xfId="1121" xr:uid="{FAE62246-0033-4153-97A9-5CF50F8EB1C2}"/>
    <cellStyle name="Normal 3 33" xfId="1122" xr:uid="{05FE22D5-4BDB-4F0F-917D-90E019ACD649}"/>
    <cellStyle name="Normal 3 34" xfId="1123" xr:uid="{BF97B0C8-F537-4025-8B8D-53E1B186550B}"/>
    <cellStyle name="Normal 3 35" xfId="1124" xr:uid="{2E6BCE5B-059D-4E47-A6CD-2B442967FC8A}"/>
    <cellStyle name="Normal 3 36" xfId="1125" xr:uid="{A06EB4A3-B082-422B-9F5C-E6FCA9C1AB1B}"/>
    <cellStyle name="Normal 3 37" xfId="1126" xr:uid="{880AD7A6-D407-4DE9-B1DE-F70B79FEF192}"/>
    <cellStyle name="Normal 3 38" xfId="1127" xr:uid="{9A84250F-5608-476E-BBCC-15FDC8D3BA89}"/>
    <cellStyle name="Normal 3 39" xfId="1128" xr:uid="{89CBE219-413A-45C3-88E4-05D82A8E6104}"/>
    <cellStyle name="Normal 3 4" xfId="1129" xr:uid="{8715EC7F-F21F-4856-931D-E5FDEDCC847C}"/>
    <cellStyle name="Normal 3 40" xfId="1130" xr:uid="{799A7A82-9D0E-4FA6-8DEB-E38890E543A7}"/>
    <cellStyle name="Normal 3 40 2" xfId="1131" xr:uid="{8B2CF296-1502-48B3-A9CD-45305506B14B}"/>
    <cellStyle name="Normal 3 41" xfId="1132" xr:uid="{126F11F3-D795-4044-A336-15AE6AE332D0}"/>
    <cellStyle name="Normal 3 42" xfId="1133" xr:uid="{4D629DC6-2E19-4804-B18C-51388B5A0E99}"/>
    <cellStyle name="Normal 3 43" xfId="1134" xr:uid="{5316B781-4A48-40F7-A71D-1D55FED293C7}"/>
    <cellStyle name="Normal 3 44" xfId="1135" xr:uid="{E486B247-2F92-4473-9F09-5966AB6039E9}"/>
    <cellStyle name="Normal 3 45" xfId="1136" xr:uid="{117FC97B-6D62-4AC3-9D2B-74DD74EE81C1}"/>
    <cellStyle name="Normal 3 46" xfId="1137" xr:uid="{0F828A76-2A71-4BF2-A7FA-DDA8C4233F54}"/>
    <cellStyle name="Normal 3 47" xfId="1138" xr:uid="{500357BD-737C-421E-8C88-0BCC5917EFBF}"/>
    <cellStyle name="Normal 3 48" xfId="1139" xr:uid="{B7E59971-7D28-4C8F-9564-49B38063C43D}"/>
    <cellStyle name="Normal 3 49" xfId="1140" xr:uid="{22B520ED-DCF1-4FFA-B10C-8EB60616571C}"/>
    <cellStyle name="Normal 3 5" xfId="1141" xr:uid="{EAC654BF-0C7B-4E92-8BB4-6F21A5D84E0A}"/>
    <cellStyle name="Normal 3 50" xfId="1142" xr:uid="{48516809-11F1-4D5D-9781-2F0012E58C96}"/>
    <cellStyle name="Normal 3 51" xfId="1143" xr:uid="{FCE44E38-21B5-4EE8-8F61-473471593D89}"/>
    <cellStyle name="Normal 3 52" xfId="1144" xr:uid="{4B15EFB7-9E28-42DC-85AD-48246288E73D}"/>
    <cellStyle name="Normal 3 53" xfId="1145" xr:uid="{937DB7D0-E6D3-4BF9-BAF7-4F6E66501BAD}"/>
    <cellStyle name="Normal 3 54" xfId="1146" xr:uid="{CD0F4DFB-6EBE-4524-9CD2-99EF2638864E}"/>
    <cellStyle name="Normal 3 55" xfId="1147" xr:uid="{69571AD7-0D91-403F-9CA9-36E575868CDC}"/>
    <cellStyle name="Normal 3 6" xfId="1148" xr:uid="{E2611EA1-CEED-49CB-B7AC-C4B65E874255}"/>
    <cellStyle name="Normal 3 7" xfId="1149" xr:uid="{9E6A1336-C39F-4D44-A746-550D18F5DD99}"/>
    <cellStyle name="Normal 3 8" xfId="1150" xr:uid="{F2169A61-905C-44D1-89D0-D584B7C1BDEE}"/>
    <cellStyle name="Normal 3 9" xfId="1151" xr:uid="{21D99F01-C015-4A3D-96DC-58D27B5605C7}"/>
    <cellStyle name="Normal 30" xfId="1152" xr:uid="{21E78D33-68EF-474F-838D-5150C271E61B}"/>
    <cellStyle name="Normal 31" xfId="1153" xr:uid="{A3AA3620-602D-4FA4-86D2-43D2F65F3C65}"/>
    <cellStyle name="Normal 32" xfId="1154" xr:uid="{4E2FC6CF-8F2B-41AC-A91F-0B3D99342206}"/>
    <cellStyle name="Normal 33" xfId="1155" xr:uid="{F22617CC-0C63-4C66-9A87-5496E014DF2E}"/>
    <cellStyle name="Normal 35" xfId="1156" xr:uid="{17125F62-6A5B-4DA6-83CB-F55764997563}"/>
    <cellStyle name="Normal 4" xfId="1157" xr:uid="{DA56A91D-9C1E-44A7-8847-FE4062EB5598}"/>
    <cellStyle name="Normal 4 10" xfId="1158" xr:uid="{CD9EE3E6-33DF-496A-9B49-5980E916DF01}"/>
    <cellStyle name="Normal 4 11" xfId="1159" xr:uid="{485D5CA8-8658-4B0E-AC91-5F1A34DBD8BF}"/>
    <cellStyle name="Normal 4 12" xfId="1160" xr:uid="{CE94E573-BDAD-4515-B709-F01B1888C995}"/>
    <cellStyle name="Normal 4 13" xfId="1161" xr:uid="{9A8AC552-37DD-4539-A731-CF96D73CF9C1}"/>
    <cellStyle name="Normal 4 14" xfId="1162" xr:uid="{65D040E1-60E3-46B6-AE52-A78C8AEA6ACA}"/>
    <cellStyle name="Normal 4 15" xfId="1163" xr:uid="{36290826-7477-4E22-8827-2E2C1EA639C4}"/>
    <cellStyle name="Normal 4 16" xfId="1164" xr:uid="{7DFFB0D6-EB3E-4C95-844B-8ED30DB61233}"/>
    <cellStyle name="Normal 4 17" xfId="1165" xr:uid="{6AFFF6EF-8D98-43AA-81FA-E5FE05EAAC51}"/>
    <cellStyle name="Normal 4 18" xfId="1166" xr:uid="{E4DDA486-98AC-48A6-BA32-6F9A24728E68}"/>
    <cellStyle name="Normal 4 19" xfId="1167" xr:uid="{C0CC5E0B-034B-4D14-B3EA-EB10C0639632}"/>
    <cellStyle name="Normal 4 2" xfId="1168" xr:uid="{D6A1DFA3-2965-4E8D-9FD3-4DF1A0AB1BA8}"/>
    <cellStyle name="Normal 4 2 2" xfId="1169" xr:uid="{2F7BAF28-7959-486A-915A-C59C0D1DE406}"/>
    <cellStyle name="Normal 4 2 3" xfId="1170" xr:uid="{55044F0A-239F-4C67-A27F-175AFB5B79E0}"/>
    <cellStyle name="Normal 4 20" xfId="1171" xr:uid="{34A554B2-2029-42D5-9F33-07B8D0861C41}"/>
    <cellStyle name="Normal 4 21" xfId="1172" xr:uid="{A8E1377A-7C4C-4C0D-AC67-357E6FF286F0}"/>
    <cellStyle name="Normal 4 21 2" xfId="1173" xr:uid="{4517892D-F8E0-4E45-8182-F028418304E0}"/>
    <cellStyle name="Normal 4 22" xfId="1174" xr:uid="{D0BD9226-589B-4A4E-B500-253AB1CA05DF}"/>
    <cellStyle name="Normal 4 23" xfId="1175" xr:uid="{491F4BCE-9174-454E-91EC-B1668F1B95A4}"/>
    <cellStyle name="Normal 4 24" xfId="1176" xr:uid="{DD8549BC-4D62-4112-B9DB-D8C33AB2A1A0}"/>
    <cellStyle name="Normal 4 25" xfId="1177" xr:uid="{2BA576BF-AD16-4EFD-8BA2-8985F7A14D6E}"/>
    <cellStyle name="Normal 4 26" xfId="1178" xr:uid="{19175D1A-BFAA-465B-8239-ED00DBFEAB4A}"/>
    <cellStyle name="Normal 4 27" xfId="1179" xr:uid="{9C0C29A1-968B-4E42-89FD-4DFBC29FEDF3}"/>
    <cellStyle name="Normal 4 28" xfId="1180" xr:uid="{8FB21306-DCF4-4EBA-8B3F-544EC483EA6A}"/>
    <cellStyle name="Normal 4 3" xfId="1181" xr:uid="{19566126-76C4-43CC-9DE9-B8E15E9F65F0}"/>
    <cellStyle name="Normal 4 4" xfId="1182" xr:uid="{253A11E1-6ED6-4DAC-8268-1284091F43CC}"/>
    <cellStyle name="Normal 4 5" xfId="1183" xr:uid="{7E5FDE63-A828-4946-BB8E-41E725D406A1}"/>
    <cellStyle name="Normal 4 6" xfId="1184" xr:uid="{253FD537-CBA2-4496-8F5C-CF22C17E2B46}"/>
    <cellStyle name="Normal 4 7" xfId="1185" xr:uid="{EE587EAB-402D-41DC-955B-0701FE0E0BDA}"/>
    <cellStyle name="Normal 4 8" xfId="1186" xr:uid="{F7A71829-C763-4759-8A44-F9B7AF131EEA}"/>
    <cellStyle name="Normal 4 9" xfId="1187" xr:uid="{9B3E3E71-6958-467D-A830-73E3AE684CD7}"/>
    <cellStyle name="Normal 5" xfId="1188" xr:uid="{ABAC7FFC-2F68-4EFB-BA72-0B73B14A7E65}"/>
    <cellStyle name="Normal 5 10" xfId="1189" xr:uid="{E70E44A7-1121-423D-984C-B77E0244D7F0}"/>
    <cellStyle name="Normal 5 11" xfId="1190" xr:uid="{0AC83C79-8CC7-49A0-AC68-8CD54E717506}"/>
    <cellStyle name="Normal 5 12" xfId="1191" xr:uid="{DF0947C2-0ED7-4EC0-BB06-D2B18BE5E304}"/>
    <cellStyle name="Normal 5 2" xfId="1192" xr:uid="{EC6DE74F-1576-4D88-B666-C8527932E59B}"/>
    <cellStyle name="Normal 5 3" xfId="1193" xr:uid="{C588621E-2D30-49A6-9DDE-89EC6016E10A}"/>
    <cellStyle name="Normal 5 4" xfId="1194" xr:uid="{55B39BEE-98DA-4EE6-AFB3-22ADBCF6F84F}"/>
    <cellStyle name="Normal 5 5" xfId="1195" xr:uid="{FDC1426D-C185-48B8-9D3C-DFA460881DB8}"/>
    <cellStyle name="Normal 5 6" xfId="1196" xr:uid="{E006CEAD-60E0-4BAE-A3B1-41601434530A}"/>
    <cellStyle name="Normal 5 7" xfId="1197" xr:uid="{F694F537-B1AC-4CCB-9EBC-ED5EA0ABE6D8}"/>
    <cellStyle name="Normal 5 8" xfId="1198" xr:uid="{E1D44278-4301-421E-897D-C0CB9FA570AD}"/>
    <cellStyle name="Normal 5 9" xfId="1199" xr:uid="{2BE2EA9F-E13B-4A1F-B709-F83157FA2F68}"/>
    <cellStyle name="Normal 5 9 2" xfId="1200" xr:uid="{7AB5F5AE-97F6-496F-8B4D-7A286702DA64}"/>
    <cellStyle name="Normal 6" xfId="1201" xr:uid="{CD06DF6B-A4EF-432C-8E87-151D112BF5F8}"/>
    <cellStyle name="Normal 6 2" xfId="1202" xr:uid="{B823BC6D-CEDD-46A9-87CA-93145CB3C143}"/>
    <cellStyle name="Normal 6 3" xfId="1203" xr:uid="{76DF843D-37DB-47B9-85C5-6793E1586650}"/>
    <cellStyle name="Normal 6 4" xfId="1204" xr:uid="{9CA0E233-6F89-496C-8C4B-9FED8B2F9BB0}"/>
    <cellStyle name="Normal 6 5" xfId="1205" xr:uid="{C835D2F8-C982-405C-B925-29874673719F}"/>
    <cellStyle name="Normal 6 6" xfId="1206" xr:uid="{2AFE74D3-5FB1-4867-A79E-38BC1D0FE412}"/>
    <cellStyle name="Normal 6 7" xfId="1207" xr:uid="{A97E9B8F-AFA3-4047-A3FC-0C9D69D14762}"/>
    <cellStyle name="Normal 7" xfId="1208" xr:uid="{7A21A042-D30D-4786-88A4-EF28A41D42B6}"/>
    <cellStyle name="Normal 7 10" xfId="1209" xr:uid="{0FF42975-067A-4306-9F06-A70075A3EC10}"/>
    <cellStyle name="Normal 7 10 2" xfId="1210" xr:uid="{EEB317CE-0DEE-4482-B9DA-D5DF92702634}"/>
    <cellStyle name="Normal 7 10 2 2" xfId="1211" xr:uid="{DC607C00-8D34-401B-BD04-8BBFB5671625}"/>
    <cellStyle name="Normal 7 10 3" xfId="1212" xr:uid="{DED5C7E7-FD4A-472E-B1EF-ECA27F0284B0}"/>
    <cellStyle name="Normal 7 11" xfId="1213" xr:uid="{B7462E10-CD99-468F-917A-3A6AFA645E74}"/>
    <cellStyle name="Normal 7 11 2" xfId="1214" xr:uid="{DED9FA2D-46A7-4D16-BF0E-3EDBDB9B6D00}"/>
    <cellStyle name="Normal 7 11 2 2" xfId="1215" xr:uid="{2F631DA3-1170-4D1F-A68C-2D76FA838FC2}"/>
    <cellStyle name="Normal 7 11 3" xfId="1216" xr:uid="{B78F2EB7-07AB-4721-96AB-4D749ED88AC8}"/>
    <cellStyle name="Normal 7 12" xfId="1217" xr:uid="{C25A1236-A356-46E5-A243-023D2F8481A6}"/>
    <cellStyle name="Normal 7 12 2" xfId="1218" xr:uid="{328A8E63-DD3D-4397-A281-9766B7FB60DE}"/>
    <cellStyle name="Normal 7 12 2 2" xfId="1219" xr:uid="{9F5004CC-5B31-414A-BF7F-EA12534E8602}"/>
    <cellStyle name="Normal 7 12 3" xfId="1220" xr:uid="{E86C5BFE-95CA-4AF8-9579-2F2B04C50CF1}"/>
    <cellStyle name="Normal 7 13" xfId="1221" xr:uid="{54788FD6-321E-49EA-8128-C79AF9B97ACB}"/>
    <cellStyle name="Normal 7 13 2" xfId="1222" xr:uid="{734F67A6-1831-456F-9F44-A041781D633F}"/>
    <cellStyle name="Normal 7 13 2 2" xfId="1223" xr:uid="{60F80AF9-B2CF-47B7-A62E-E36B5AD7D824}"/>
    <cellStyle name="Normal 7 13 3" xfId="1224" xr:uid="{CAEF4166-3751-4788-A44C-FE9F0693ECA1}"/>
    <cellStyle name="Normal 7 14" xfId="1225" xr:uid="{666CC2CB-BB08-449C-A896-C0C5E9360695}"/>
    <cellStyle name="Normal 7 14 2" xfId="1226" xr:uid="{BCCA71E9-C40B-409E-B022-E62208F9F29F}"/>
    <cellStyle name="Normal 7 14 2 2" xfId="1227" xr:uid="{30425FDE-A3D0-47CF-9CAB-C330A10F14BF}"/>
    <cellStyle name="Normal 7 14 3" xfId="1228" xr:uid="{0CF87308-5082-4993-A31C-1440B614918A}"/>
    <cellStyle name="Normal 7 2" xfId="1229" xr:uid="{B45DDC5E-2606-49D7-AF34-8D927C97846D}"/>
    <cellStyle name="Normal 7 2 2" xfId="1230" xr:uid="{22108293-746F-4ECA-857D-61D8C11E7195}"/>
    <cellStyle name="Normal 7 2 2 2" xfId="1231" xr:uid="{6E8B8227-DC59-4206-A5A5-1A84E9E83139}"/>
    <cellStyle name="Normal 7 2 2 2 2" xfId="1232" xr:uid="{C5B12945-03C3-4143-A014-1BC6621E0423}"/>
    <cellStyle name="Normal 7 2 2 3" xfId="1233" xr:uid="{DE3BF32F-AFCE-4A50-9AA5-271A585415F0}"/>
    <cellStyle name="Normal 7 2 3" xfId="1234" xr:uid="{77828C8B-EFB6-4F57-BDC7-9962AF0AF00E}"/>
    <cellStyle name="Normal 7 2 3 2" xfId="1235" xr:uid="{43C02AB3-FA39-49BA-9C18-6457199FCB87}"/>
    <cellStyle name="Normal 7 2 3 2 2" xfId="1236" xr:uid="{77B95700-7F01-40A2-89EA-B6CD5C42B698}"/>
    <cellStyle name="Normal 7 2 3 3" xfId="1237" xr:uid="{DE78C6E4-A8CC-4DCB-AD82-3EF92FFC420F}"/>
    <cellStyle name="Normal 7 3" xfId="1238" xr:uid="{94BA405F-6875-4975-B448-D92A0EAB9D65}"/>
    <cellStyle name="Normal 7 3 2" xfId="1239" xr:uid="{427EB319-FA2A-4FBB-A9E0-06D3F2AAC3A6}"/>
    <cellStyle name="Normal 7 3 2 2" xfId="1240" xr:uid="{3828BB7D-0860-45C2-8C94-C26DF88E9B64}"/>
    <cellStyle name="Normal 7 3 3" xfId="1241" xr:uid="{586E27E1-2F72-46EC-87AA-A9921C57D54F}"/>
    <cellStyle name="Normal 7 3 4" xfId="1242" xr:uid="{6175B2D5-14A5-43E4-A469-198B8E304269}"/>
    <cellStyle name="Normal 7 3 5" xfId="1243" xr:uid="{4E86F542-AE4A-42AC-9402-D30E5F3878FB}"/>
    <cellStyle name="Normal 7 4" xfId="1244" xr:uid="{7E07533C-49E5-415D-B374-120E5F2738FD}"/>
    <cellStyle name="Normal 7 4 2" xfId="1245" xr:uid="{78C46ED4-B67A-4D9D-A473-6EBA46866A86}"/>
    <cellStyle name="Normal 7 4 2 2" xfId="1246" xr:uid="{16C6E005-FC3D-4DF5-B3E9-9BF39E3F3E42}"/>
    <cellStyle name="Normal 7 4 3" xfId="1247" xr:uid="{C56275BF-25FC-49E6-8A4C-EA18A887D73F}"/>
    <cellStyle name="Normal 7 5" xfId="1248" xr:uid="{0A8B3492-966A-4B35-B9FE-15136157FE00}"/>
    <cellStyle name="Normal 7 5 2" xfId="1249" xr:uid="{2060B9C7-2962-45A5-B876-81F93541A529}"/>
    <cellStyle name="Normal 7 5 2 2" xfId="1250" xr:uid="{F373B5C0-A2AE-45B2-B8C9-FBA0A513F8EA}"/>
    <cellStyle name="Normal 7 5 3" xfId="1251" xr:uid="{BD93DD49-F864-45C6-A00B-B4BDFA3B6BB1}"/>
    <cellStyle name="Normal 7 6" xfId="1252" xr:uid="{45C484F3-753A-4626-A164-2C38BF8ADF3F}"/>
    <cellStyle name="Normal 7 6 2" xfId="1253" xr:uid="{4D0E0068-541C-46AA-AE6A-1666CC981EB4}"/>
    <cellStyle name="Normal 7 6 2 2" xfId="1254" xr:uid="{B04D44B9-EEB0-416A-B409-31E183B94477}"/>
    <cellStyle name="Normal 7 6 3" xfId="1255" xr:uid="{9CCA8680-7B97-4087-93C6-1493777B5696}"/>
    <cellStyle name="Normal 7 7" xfId="1256" xr:uid="{2A1AB2E6-AA4D-490D-A6CF-A16EEA3F746E}"/>
    <cellStyle name="Normal 7 7 2" xfId="1257" xr:uid="{7DEAA498-EC55-423A-AA3A-F18EE8BE2CC7}"/>
    <cellStyle name="Normal 7 7 2 2" xfId="1258" xr:uid="{19A3998D-F0DF-476E-8B5A-71B9F17D7725}"/>
    <cellStyle name="Normal 7 7 3" xfId="1259" xr:uid="{AE660BC6-57C4-4AFA-90D2-EE7A5B7C9FF8}"/>
    <cellStyle name="Normal 7 8" xfId="1260" xr:uid="{812F60A8-0B75-4B23-8328-F609DA9D81C7}"/>
    <cellStyle name="Normal 7 8 2" xfId="1261" xr:uid="{80A0A7CF-4EBA-443A-B3CA-82F5338FA17F}"/>
    <cellStyle name="Normal 7 8 2 2" xfId="1262" xr:uid="{9DB991DE-E973-4B0B-81C6-8A39BDB9FE88}"/>
    <cellStyle name="Normal 7 8 3" xfId="1263" xr:uid="{0DCB67D0-77B0-4EDA-98CE-9EAFA2DF6E39}"/>
    <cellStyle name="Normal 7 9" xfId="1264" xr:uid="{793D21A0-7FFF-4CD4-94D5-223435DBB032}"/>
    <cellStyle name="Normal 7 9 2" xfId="1265" xr:uid="{EC27A604-AF03-4E23-A157-E886B3A2E5D3}"/>
    <cellStyle name="Normal 7 9 2 2" xfId="1266" xr:uid="{4C99D392-A15A-4257-ACFD-FF17094378E1}"/>
    <cellStyle name="Normal 7 9 3" xfId="1267" xr:uid="{279F389D-9E94-408B-B3F3-6124FD5E5ABE}"/>
    <cellStyle name="Normal 8" xfId="1268" xr:uid="{DF887077-C815-4E67-9F8E-6BE30EC6E6C2}"/>
    <cellStyle name="Normal 8 10" xfId="1269" xr:uid="{0B336C72-6587-43B3-88EB-B5E2353C2788}"/>
    <cellStyle name="Normal 8 10 2" xfId="1270" xr:uid="{1C0F1687-3ED9-402C-BC34-AC60C7FFDDB0}"/>
    <cellStyle name="Normal 8 10 2 2" xfId="1271" xr:uid="{A9133896-620D-4554-845B-BD4C392998EB}"/>
    <cellStyle name="Normal 8 10 3" xfId="1272" xr:uid="{14E9A0C2-4D34-418B-940D-53DD31DE83F4}"/>
    <cellStyle name="Normal 8 11" xfId="1273" xr:uid="{00E0C5F2-BF97-43D0-AD51-9EF2E7170D81}"/>
    <cellStyle name="Normal 8 11 2" xfId="1274" xr:uid="{A1633DF0-23FB-4C6C-8333-E469521441C8}"/>
    <cellStyle name="Normal 8 11 2 2" xfId="1275" xr:uid="{A607AEB4-6A2A-44A0-A75C-B1CC75F6C2C2}"/>
    <cellStyle name="Normal 8 11 3" xfId="1276" xr:uid="{8E8017E9-4F33-43F6-8581-A183463B21FF}"/>
    <cellStyle name="Normal 8 12" xfId="1277" xr:uid="{F1B532F6-CCB4-4435-9961-3297D42E7EFD}"/>
    <cellStyle name="Normal 8 12 2" xfId="1278" xr:uid="{A3414862-EC79-44B4-B05C-1B33CCF42A57}"/>
    <cellStyle name="Normal 8 12 2 2" xfId="1279" xr:uid="{32AF19C1-1EF1-47B7-9FA5-E62E63BC847A}"/>
    <cellStyle name="Normal 8 12 3" xfId="1280" xr:uid="{C8A7D6A6-BC75-4952-98D1-FEF27CE0BECE}"/>
    <cellStyle name="Normal 8 13" xfId="1281" xr:uid="{C7F3EEFA-C0C6-4997-B5CE-EDA3140DABEE}"/>
    <cellStyle name="Normal 8 13 2" xfId="1282" xr:uid="{159F9A9E-0F72-4684-A858-BDEE66151D54}"/>
    <cellStyle name="Normal 8 13 2 2" xfId="1283" xr:uid="{B3889D77-280F-436D-92C4-A03080EC059B}"/>
    <cellStyle name="Normal 8 13 3" xfId="1284" xr:uid="{16BECCD4-7673-4460-ACEF-C28A663A52E2}"/>
    <cellStyle name="Normal 8 14" xfId="1285" xr:uid="{5E937E85-366A-41AC-9D5F-AC06E013ACB5}"/>
    <cellStyle name="Normal 8 14 2" xfId="1286" xr:uid="{3E4B3507-BD48-4610-B5DC-397EBF174BC8}"/>
    <cellStyle name="Normal 8 14 2 2" xfId="1287" xr:uid="{D0E54AFC-0629-4EBB-8384-14EA3A4293AA}"/>
    <cellStyle name="Normal 8 14 3" xfId="1288" xr:uid="{0DEBE2AA-E565-4BC9-AF58-974586B10082}"/>
    <cellStyle name="Normal 8 2" xfId="1289" xr:uid="{E3D18390-19C2-489A-A86E-71FFE7B85A0D}"/>
    <cellStyle name="Normal 8 2 2" xfId="1290" xr:uid="{93D6C18E-E370-4E65-9D4C-B6B07546C3CE}"/>
    <cellStyle name="Normal 8 2 2 2" xfId="1291" xr:uid="{2CE8EAD1-9AEF-4A15-8CA5-8D8A3FBED609}"/>
    <cellStyle name="Normal 8 2 2 2 2" xfId="1292" xr:uid="{71EC5656-F62D-40DE-8C60-90ED8790C790}"/>
    <cellStyle name="Normal 8 2 2 3" xfId="1293" xr:uid="{4AF34C71-629B-4B19-AAE0-2E4CD9606C62}"/>
    <cellStyle name="Normal 8 2 3" xfId="1294" xr:uid="{707EC771-703F-46E5-BD90-0E897D5141C5}"/>
    <cellStyle name="Normal 8 2 3 2" xfId="1295" xr:uid="{4F90615E-837F-4746-85C3-E334B0F340AA}"/>
    <cellStyle name="Normal 8 2 3 2 2" xfId="1296" xr:uid="{CC91E9E8-ED78-4F08-A625-8762B3E64F58}"/>
    <cellStyle name="Normal 8 2 3 3" xfId="1297" xr:uid="{0B4288E7-9A09-4771-9618-00478C50831A}"/>
    <cellStyle name="Normal 8 3" xfId="1298" xr:uid="{B24A9588-8335-403C-B095-5252DD0063AE}"/>
    <cellStyle name="Normal 8 3 2" xfId="1299" xr:uid="{C7644E5D-6738-44D9-9AEC-4B0952A27E61}"/>
    <cellStyle name="Normal 8 3 2 2" xfId="1300" xr:uid="{6AE8B209-AD89-49FF-81CA-2062C3547071}"/>
    <cellStyle name="Normal 8 3 3" xfId="1301" xr:uid="{14A73924-FCFD-48DB-9D2F-00FBFF3490E2}"/>
    <cellStyle name="Normal 8 4" xfId="1302" xr:uid="{740DD8FB-71ED-4EDB-8A8F-081342AD4D1B}"/>
    <cellStyle name="Normal 8 4 2" xfId="1303" xr:uid="{FCCC6EEE-8838-484C-A856-0323AAE845FF}"/>
    <cellStyle name="Normal 8 4 2 2" xfId="1304" xr:uid="{5D4E1737-6442-44F6-BDE3-4476E4EEE63D}"/>
    <cellStyle name="Normal 8 4 3" xfId="1305" xr:uid="{F1DC4861-77B9-4139-80C7-466812DDFFFB}"/>
    <cellStyle name="Normal 8 5" xfId="1306" xr:uid="{DEDFBC8C-7A43-420B-9A69-21DCE73C9D43}"/>
    <cellStyle name="Normal 8 5 2" xfId="1307" xr:uid="{3CAC916E-FB97-4F1C-AA31-1B4BA193BE8C}"/>
    <cellStyle name="Normal 8 5 2 2" xfId="1308" xr:uid="{973F0FCF-F235-48E7-8E94-B5CDC69F17F5}"/>
    <cellStyle name="Normal 8 5 3" xfId="1309" xr:uid="{667E90EC-1081-432E-AF17-63DB8B7E097A}"/>
    <cellStyle name="Normal 8 6" xfId="1310" xr:uid="{556180A9-8DC6-4BF4-A9D5-ECAD6182D796}"/>
    <cellStyle name="Normal 8 6 2" xfId="1311" xr:uid="{1D229E72-0B2E-45FE-BB4A-18FAB45A153D}"/>
    <cellStyle name="Normal 8 6 2 2" xfId="1312" xr:uid="{35AA6AB5-AE2B-4FF4-AF66-2DDE3EACD4ED}"/>
    <cellStyle name="Normal 8 6 3" xfId="1313" xr:uid="{4E8F52F1-C620-4801-B7C8-3DBF19C739F2}"/>
    <cellStyle name="Normal 8 7" xfId="1314" xr:uid="{07BF33F2-8F19-4CE4-9FF1-937C7C46EC73}"/>
    <cellStyle name="Normal 8 7 2" xfId="1315" xr:uid="{6D584980-D1F4-4ADB-8082-B07F058A5DDD}"/>
    <cellStyle name="Normal 8 7 2 2" xfId="1316" xr:uid="{652E34C5-ECC4-4423-A6D1-5F889A6A9748}"/>
    <cellStyle name="Normal 8 7 3" xfId="1317" xr:uid="{6F823761-0B08-465E-9630-4D07E347F59A}"/>
    <cellStyle name="Normal 8 8" xfId="1318" xr:uid="{98313F73-A62B-4160-9A37-53A9D8062535}"/>
    <cellStyle name="Normal 8 8 2" xfId="1319" xr:uid="{026327E7-491D-46E1-8285-5D94823669D8}"/>
    <cellStyle name="Normal 8 8 2 2" xfId="1320" xr:uid="{54D2C873-BCC7-46C2-ACDB-2AE2FE75F4A4}"/>
    <cellStyle name="Normal 8 8 3" xfId="1321" xr:uid="{7C0AAC89-4E7D-4005-9DEE-0BE8458E2EC3}"/>
    <cellStyle name="Normal 8 9" xfId="1322" xr:uid="{E24D5AA8-CF21-4898-84D3-1CF737E75D57}"/>
    <cellStyle name="Normal 8 9 2" xfId="1323" xr:uid="{92A3701D-39EF-4A37-8CE5-A050891BE7BC}"/>
    <cellStyle name="Normal 8 9 2 2" xfId="1324" xr:uid="{7BB4B83D-D665-4C6C-9763-CCE4DFAFB386}"/>
    <cellStyle name="Normal 8 9 3" xfId="1325" xr:uid="{6D6F75F8-60FA-4402-B483-5DFEE289A38F}"/>
    <cellStyle name="Normal 9" xfId="1326" xr:uid="{EACC29FA-4CB6-4CF2-B151-ED4DC6310CFD}"/>
    <cellStyle name="Normal 9 2" xfId="1327" xr:uid="{B0BD63AC-FE4D-494A-8E35-C57F66B0D673}"/>
    <cellStyle name="Normal 9 2 2" xfId="1328" xr:uid="{7F81003C-39C7-4CD6-91BA-42781B1A8503}"/>
    <cellStyle name="Normal 9 2 3" xfId="1329" xr:uid="{A31E5F5A-D0A8-4BAA-B8D8-34855AA32690}"/>
    <cellStyle name="Normal 9 2 4" xfId="1330" xr:uid="{F4C261C7-E87F-491D-A3B3-30C5E58E88B1}"/>
    <cellStyle name="Normal 9 2 5" xfId="1331" xr:uid="{6DC4724F-6312-4C3F-B8F1-A1DF29A59F9D}"/>
    <cellStyle name="Normal 9 3" xfId="1332" xr:uid="{9070D15A-FE6F-4496-9024-98E5B898723D}"/>
    <cellStyle name="Normal 9 3 2" xfId="1333" xr:uid="{0DED0902-E2BE-46A1-BE11-576A49F4951D}"/>
    <cellStyle name="Normal 9 3 3" xfId="1334" xr:uid="{85288DA5-5D2E-4238-8DCF-434BC3BEF90C}"/>
    <cellStyle name="Normal 9 3 4" xfId="1335" xr:uid="{7B6B397F-4F5B-4F18-BA56-0ADDF1AE8431}"/>
    <cellStyle name="Normal 9 3 5" xfId="1336" xr:uid="{8EE813D4-4C8E-4718-B906-D3C3EE977CF0}"/>
    <cellStyle name="Normal 9 4" xfId="1337" xr:uid="{7DF53BAE-5151-492F-AE4D-E938957F49A4}"/>
    <cellStyle name="Normal 9 4 2" xfId="1338" xr:uid="{1B41E869-45B3-4A13-B4D1-4B6924DB01AA}"/>
    <cellStyle name="Normal 9 4 3" xfId="1339" xr:uid="{CE44F682-71A2-4A52-8F57-FECB2C077B49}"/>
    <cellStyle name="Normal 9 4 4" xfId="1340" xr:uid="{B0E5CCE4-1553-4B91-AEEA-7479215FC318}"/>
    <cellStyle name="Normal 9 4 5" xfId="1341" xr:uid="{A2AB28E8-18CC-40F3-87E8-4635B6539C95}"/>
    <cellStyle name="Normal 9 5" xfId="1342" xr:uid="{2BD913CD-C436-4BE5-893E-994F00FEC475}"/>
    <cellStyle name="Normal 9 5 2" xfId="1343" xr:uid="{9A29F839-9BB3-410B-A766-91CC2E40B3C3}"/>
    <cellStyle name="Normal 9 5 3" xfId="1344" xr:uid="{72056BA0-A0F4-4A12-B151-EFECCA775EB0}"/>
    <cellStyle name="Normal 9 5 4" xfId="1345" xr:uid="{31464658-10CD-4C6F-B488-2C2AA9D53104}"/>
    <cellStyle name="Normal 9 5 5" xfId="1346" xr:uid="{34CA3061-FF89-4396-8F41-59BEB8854B26}"/>
    <cellStyle name="Normal 9 6" xfId="1347" xr:uid="{832A3342-7C39-48E7-B46C-5B8B9D3463EC}"/>
    <cellStyle name="Normal 9 6 2" xfId="1348" xr:uid="{E719E650-7AB8-4148-BE17-2BFCCD71FAA1}"/>
    <cellStyle name="Normal 9 6 3" xfId="1349" xr:uid="{EA0EE028-54DE-44F4-929D-3073B8AA5DA5}"/>
    <cellStyle name="Normal 9 6 4" xfId="1350" xr:uid="{FA5ECADB-7033-41A6-A332-4D9A66502836}"/>
    <cellStyle name="Normal 9 6 5" xfId="1351" xr:uid="{23470300-E0DB-4373-A14F-774CB8FE230F}"/>
    <cellStyle name="Normal 9 7" xfId="1352" xr:uid="{02E4D1A0-BEB6-4D12-BE7B-3AE37AC2D1C8}"/>
    <cellStyle name="Normal 9 7 2" xfId="1353" xr:uid="{BC3FE4E4-A51C-4411-9A01-65EF410E17FF}"/>
    <cellStyle name="Normal 9 7 3" xfId="1354" xr:uid="{355A6736-1FA6-4369-A851-EC3FA8649531}"/>
    <cellStyle name="Normal 9 7 4" xfId="1355" xr:uid="{A5C5B54F-C49A-43F5-B983-A943C1FD37B9}"/>
    <cellStyle name="Normal 9 7 5" xfId="1356" xr:uid="{0E4225B1-47C3-4B99-99CC-EB322DFE5D94}"/>
    <cellStyle name="Normal 9 8" xfId="1357" xr:uid="{B41D9465-F7C0-4D50-B455-2A55D4233734}"/>
    <cellStyle name="Normal 9 8 2" xfId="1358" xr:uid="{BEECAA6E-F312-4CD6-874B-06DD33A752F2}"/>
    <cellStyle name="Normal 9 8 3" xfId="1359" xr:uid="{F17EA25D-9CAA-4C42-8CDE-5ED48F19717B}"/>
    <cellStyle name="Normal 9 8 4" xfId="1360" xr:uid="{652518D6-32AB-45D4-B7EF-A8AB74BFB015}"/>
    <cellStyle name="Normal 9 8 5" xfId="1361" xr:uid="{1B02903D-D073-4051-A38A-E820877CC664}"/>
    <cellStyle name="Pourcentage 2" xfId="1362" xr:uid="{4AD84440-2976-4114-A5B0-A67D95712D33}"/>
    <cellStyle name="Pourcentage 2 2" xfId="1363" xr:uid="{87783D0D-0709-4C16-A6AB-E59A9EF15B92}"/>
    <cellStyle name="Pourcentage 3" xfId="1364" xr:uid="{40E5BD58-7C99-4EBE-A85B-0C3E93DC30E1}"/>
    <cellStyle name="Pourcentage 4" xfId="1365" xr:uid="{B481C443-430C-40A7-956E-1CB835890748}"/>
    <cellStyle name="RGPH" xfId="1366" xr:uid="{FC4EC151-AC95-4016-AD77-FA6F3452CDF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workbookViewId="0"/>
  </sheetViews>
  <sheetFormatPr baseColWidth="10" defaultRowHeight="14.4"/>
  <cols>
    <col min="1" max="1" width="11.5546875" style="3"/>
    <col min="2" max="2" width="24.88671875" customWidth="1"/>
    <col min="3" max="3" width="21.88671875" customWidth="1"/>
    <col min="4" max="4" width="16.77734375" customWidth="1"/>
    <col min="5" max="5" width="22" customWidth="1"/>
    <col min="6" max="6" width="22.109375" customWidth="1"/>
    <col min="7" max="7" width="30.109375" customWidth="1"/>
    <col min="8" max="8" width="23.6640625" customWidth="1"/>
    <col min="9" max="9" width="37.88671875" customWidth="1"/>
    <col min="10" max="10" width="21.109375" customWidth="1"/>
    <col min="11" max="11" width="20.33203125" customWidth="1"/>
  </cols>
  <sheetData>
    <row r="1" spans="1:11" ht="23.4" customHeight="1">
      <c r="A1" s="5" t="s">
        <v>53</v>
      </c>
      <c r="B1" s="5" t="s">
        <v>43</v>
      </c>
      <c r="C1" s="5" t="s">
        <v>44</v>
      </c>
      <c r="D1" s="6" t="s">
        <v>45</v>
      </c>
      <c r="E1" s="6" t="s">
        <v>46</v>
      </c>
      <c r="F1" s="6" t="s">
        <v>47</v>
      </c>
      <c r="G1" s="7" t="s">
        <v>48</v>
      </c>
      <c r="H1" s="7" t="s">
        <v>49</v>
      </c>
      <c r="I1" s="7" t="s">
        <v>50</v>
      </c>
      <c r="J1" s="7" t="s">
        <v>51</v>
      </c>
      <c r="K1" s="7" t="s">
        <v>52</v>
      </c>
    </row>
    <row r="2" spans="1:11" s="13" customFormat="1" ht="24" customHeight="1">
      <c r="A2" s="8">
        <v>2020</v>
      </c>
      <c r="B2" s="9" t="s">
        <v>0</v>
      </c>
      <c r="C2" s="9" t="s">
        <v>1</v>
      </c>
      <c r="D2" s="10">
        <v>11</v>
      </c>
      <c r="E2" s="10">
        <v>4.7</v>
      </c>
      <c r="F2" s="10">
        <v>6.98</v>
      </c>
      <c r="G2" s="11">
        <v>0.2</v>
      </c>
      <c r="H2" s="11">
        <v>0.01</v>
      </c>
      <c r="I2" s="11">
        <v>4.0000000000000001E-3</v>
      </c>
      <c r="J2" s="12">
        <f>SUM(G2:I2)</f>
        <v>0.21400000000000002</v>
      </c>
      <c r="K2" s="11" t="s">
        <v>106</v>
      </c>
    </row>
    <row r="3" spans="1:11" s="13" customFormat="1" ht="24" customHeight="1">
      <c r="A3" s="8">
        <v>2020</v>
      </c>
      <c r="B3" s="9" t="s">
        <v>3</v>
      </c>
      <c r="C3" s="9" t="s">
        <v>4</v>
      </c>
      <c r="D3" s="10">
        <v>23</v>
      </c>
      <c r="E3" s="10">
        <v>0.9</v>
      </c>
      <c r="F3" s="10">
        <v>19.899999999999999</v>
      </c>
      <c r="G3" s="11">
        <v>0.26</v>
      </c>
      <c r="H3" s="11">
        <v>0.37</v>
      </c>
      <c r="I3" s="11"/>
      <c r="J3" s="12">
        <f t="shared" ref="J3:J13" si="0">SUM(G3:I3)</f>
        <v>0.63</v>
      </c>
      <c r="K3" s="11" t="s">
        <v>107</v>
      </c>
    </row>
    <row r="4" spans="1:11" s="13" customFormat="1" ht="24" customHeight="1">
      <c r="A4" s="8">
        <v>2020</v>
      </c>
      <c r="B4" s="9" t="s">
        <v>6</v>
      </c>
      <c r="C4" s="9" t="s">
        <v>7</v>
      </c>
      <c r="D4" s="10">
        <v>247</v>
      </c>
      <c r="E4" s="10">
        <v>9.5</v>
      </c>
      <c r="F4" s="10">
        <v>211.2</v>
      </c>
      <c r="G4" s="11">
        <v>0.44</v>
      </c>
      <c r="H4" s="11">
        <v>6.05</v>
      </c>
      <c r="I4" s="11">
        <v>0.18</v>
      </c>
      <c r="J4" s="12">
        <f t="shared" si="0"/>
        <v>6.67</v>
      </c>
      <c r="K4" s="11" t="s">
        <v>108</v>
      </c>
    </row>
    <row r="5" spans="1:11" s="13" customFormat="1" ht="24" customHeight="1">
      <c r="A5" s="8">
        <v>2020</v>
      </c>
      <c r="B5" s="9" t="s">
        <v>8</v>
      </c>
      <c r="C5" s="9" t="s">
        <v>9</v>
      </c>
      <c r="D5" s="10">
        <v>35</v>
      </c>
      <c r="E5" s="10">
        <v>3.2</v>
      </c>
      <c r="F5" s="10">
        <v>90.73</v>
      </c>
      <c r="G5" s="11">
        <v>2.36</v>
      </c>
      <c r="H5" s="11">
        <v>0.51</v>
      </c>
      <c r="I5" s="11"/>
      <c r="J5" s="12">
        <f t="shared" si="0"/>
        <v>2.87</v>
      </c>
      <c r="K5" s="11" t="s">
        <v>109</v>
      </c>
    </row>
    <row r="6" spans="1:11" s="13" customFormat="1" ht="24" customHeight="1">
      <c r="A6" s="8">
        <v>2020</v>
      </c>
      <c r="B6" s="9" t="s">
        <v>10</v>
      </c>
      <c r="C6" s="9" t="s">
        <v>11</v>
      </c>
      <c r="D6" s="10">
        <v>82</v>
      </c>
      <c r="E6" s="10">
        <v>3</v>
      </c>
      <c r="F6" s="10">
        <v>61</v>
      </c>
      <c r="G6" s="11">
        <v>0.14000000000000001</v>
      </c>
      <c r="H6" s="11">
        <v>1.67</v>
      </c>
      <c r="I6" s="11">
        <v>0.18</v>
      </c>
      <c r="J6" s="12">
        <f t="shared" si="0"/>
        <v>1.99</v>
      </c>
      <c r="K6" s="11" t="s">
        <v>110</v>
      </c>
    </row>
    <row r="7" spans="1:11" s="13" customFormat="1" ht="24" customHeight="1">
      <c r="A7" s="8">
        <v>2020</v>
      </c>
      <c r="B7" s="9" t="s">
        <v>12</v>
      </c>
      <c r="C7" s="9" t="s">
        <v>13</v>
      </c>
      <c r="D7" s="10">
        <v>12</v>
      </c>
      <c r="E7" s="10">
        <v>0.8</v>
      </c>
      <c r="F7" s="10">
        <v>4.47</v>
      </c>
      <c r="G7" s="11">
        <v>0.1</v>
      </c>
      <c r="H7" s="11">
        <v>4.2999999999999997E-2</v>
      </c>
      <c r="I7" s="11"/>
      <c r="J7" s="12">
        <f t="shared" si="0"/>
        <v>0.14300000000000002</v>
      </c>
      <c r="K7" s="11" t="s">
        <v>111</v>
      </c>
    </row>
    <row r="8" spans="1:11" s="13" customFormat="1" ht="24" customHeight="1">
      <c r="A8" s="8">
        <v>2020</v>
      </c>
      <c r="B8" s="9" t="s">
        <v>14</v>
      </c>
      <c r="C8" s="9" t="s">
        <v>15</v>
      </c>
      <c r="D8" s="10">
        <v>38</v>
      </c>
      <c r="E8" s="14">
        <v>12.6</v>
      </c>
      <c r="F8" s="10">
        <v>50.3</v>
      </c>
      <c r="G8" s="11">
        <v>0.66</v>
      </c>
      <c r="H8" s="11">
        <v>0.92</v>
      </c>
      <c r="I8" s="11">
        <v>1.2E-2</v>
      </c>
      <c r="J8" s="12">
        <f t="shared" si="0"/>
        <v>1.5920000000000001</v>
      </c>
      <c r="K8" s="11" t="s">
        <v>112</v>
      </c>
    </row>
    <row r="9" spans="1:11" s="13" customFormat="1" ht="24" customHeight="1">
      <c r="A9" s="8">
        <v>2020</v>
      </c>
      <c r="B9" s="9" t="s">
        <v>17</v>
      </c>
      <c r="C9" s="9" t="s">
        <v>15</v>
      </c>
      <c r="D9" s="10">
        <v>19</v>
      </c>
      <c r="E9" s="14"/>
      <c r="F9" s="10">
        <v>90.36</v>
      </c>
      <c r="G9" s="11">
        <v>2.74</v>
      </c>
      <c r="H9" s="11">
        <v>0.19</v>
      </c>
      <c r="I9" s="11"/>
      <c r="J9" s="12">
        <f t="shared" si="0"/>
        <v>2.93</v>
      </c>
      <c r="K9" s="11" t="s">
        <v>113</v>
      </c>
    </row>
    <row r="10" spans="1:11" s="13" customFormat="1" ht="24" customHeight="1">
      <c r="A10" s="8">
        <v>2020</v>
      </c>
      <c r="B10" s="9" t="s">
        <v>18</v>
      </c>
      <c r="C10" s="9" t="s">
        <v>19</v>
      </c>
      <c r="D10" s="10">
        <v>30</v>
      </c>
      <c r="E10" s="10">
        <v>1.3</v>
      </c>
      <c r="F10" s="10">
        <v>49.7</v>
      </c>
      <c r="G10" s="11">
        <v>1.27</v>
      </c>
      <c r="H10" s="11">
        <v>0.3</v>
      </c>
      <c r="I10" s="11"/>
      <c r="J10" s="12">
        <f t="shared" si="0"/>
        <v>1.57</v>
      </c>
      <c r="K10" s="11" t="s">
        <v>114</v>
      </c>
    </row>
    <row r="11" spans="1:11" s="13" customFormat="1" ht="24" customHeight="1">
      <c r="A11" s="8">
        <v>2020</v>
      </c>
      <c r="B11" s="9" t="s">
        <v>20</v>
      </c>
      <c r="C11" s="9" t="s">
        <v>19</v>
      </c>
      <c r="D11" s="10">
        <v>8</v>
      </c>
      <c r="E11" s="10">
        <v>1.5</v>
      </c>
      <c r="F11" s="10">
        <v>4.83</v>
      </c>
      <c r="G11" s="11">
        <v>0.02</v>
      </c>
      <c r="H11" s="11">
        <v>0.13</v>
      </c>
      <c r="I11" s="11"/>
      <c r="J11" s="12">
        <f t="shared" si="0"/>
        <v>0.15</v>
      </c>
      <c r="K11" s="11" t="s">
        <v>115</v>
      </c>
    </row>
    <row r="12" spans="1:11" s="13" customFormat="1" ht="24" customHeight="1">
      <c r="A12" s="8">
        <v>2020</v>
      </c>
      <c r="B12" s="9" t="s">
        <v>22</v>
      </c>
      <c r="C12" s="9" t="s">
        <v>23</v>
      </c>
      <c r="D12" s="10">
        <v>56</v>
      </c>
      <c r="E12" s="10">
        <v>4</v>
      </c>
      <c r="F12" s="10">
        <v>40</v>
      </c>
      <c r="G12" s="11"/>
      <c r="H12" s="11">
        <v>1.25</v>
      </c>
      <c r="I12" s="11">
        <v>0.02</v>
      </c>
      <c r="J12" s="12">
        <f t="shared" si="0"/>
        <v>1.27</v>
      </c>
      <c r="K12" s="11" t="s">
        <v>116</v>
      </c>
    </row>
    <row r="13" spans="1:11" s="13" customFormat="1" ht="24" customHeight="1">
      <c r="A13" s="8">
        <v>2020</v>
      </c>
      <c r="B13" s="9" t="s">
        <v>25</v>
      </c>
      <c r="C13" s="9" t="s">
        <v>23</v>
      </c>
      <c r="D13" s="10">
        <v>24</v>
      </c>
      <c r="E13" s="10" t="s">
        <v>26</v>
      </c>
      <c r="F13" s="10">
        <v>39.200000000000003</v>
      </c>
      <c r="G13" s="11"/>
      <c r="H13" s="11">
        <v>1.24</v>
      </c>
      <c r="I13" s="11"/>
      <c r="J13" s="12">
        <f t="shared" si="0"/>
        <v>1.24</v>
      </c>
      <c r="K13" s="11" t="s">
        <v>117</v>
      </c>
    </row>
    <row r="14" spans="1:11" s="13" customFormat="1" ht="24" customHeight="1">
      <c r="A14" s="8">
        <v>2020</v>
      </c>
      <c r="B14" s="19" t="s">
        <v>28</v>
      </c>
      <c r="C14" s="19"/>
      <c r="D14" s="4">
        <f>SUM(D2:D13)</f>
        <v>585</v>
      </c>
      <c r="E14" s="4">
        <v>53.2</v>
      </c>
      <c r="F14" s="4">
        <f>SUM(F2:F13)</f>
        <v>668.67000000000019</v>
      </c>
      <c r="G14" s="4">
        <f>SUM(G2:G13)</f>
        <v>8.19</v>
      </c>
      <c r="H14" s="4">
        <f>SUM(H2:H13)</f>
        <v>12.683</v>
      </c>
      <c r="I14" s="15">
        <f>SUM(I2:I13)</f>
        <v>0.39600000000000002</v>
      </c>
      <c r="J14" s="4">
        <f>SUM(J2:J13)</f>
        <v>21.268999999999998</v>
      </c>
      <c r="K14" s="4"/>
    </row>
    <row r="15" spans="1:11" s="13" customFormat="1" ht="24" customHeight="1">
      <c r="A15" s="8">
        <v>2021</v>
      </c>
      <c r="B15" s="9" t="s">
        <v>0</v>
      </c>
      <c r="C15" s="9" t="s">
        <v>1</v>
      </c>
      <c r="D15" s="10">
        <v>12</v>
      </c>
      <c r="E15" s="10">
        <v>4.7</v>
      </c>
      <c r="F15" s="10" t="s">
        <v>54</v>
      </c>
      <c r="G15" s="11" t="s">
        <v>55</v>
      </c>
      <c r="H15" s="11" t="s">
        <v>56</v>
      </c>
      <c r="I15" s="11" t="s">
        <v>57</v>
      </c>
      <c r="J15" s="12" t="s">
        <v>2</v>
      </c>
      <c r="K15" s="11" t="s">
        <v>58</v>
      </c>
    </row>
    <row r="16" spans="1:11" s="13" customFormat="1" ht="24" customHeight="1">
      <c r="A16" s="8">
        <v>2021</v>
      </c>
      <c r="B16" s="9" t="s">
        <v>3</v>
      </c>
      <c r="C16" s="9" t="s">
        <v>4</v>
      </c>
      <c r="D16" s="10">
        <v>22</v>
      </c>
      <c r="E16" s="10">
        <v>0.9</v>
      </c>
      <c r="F16" s="10" t="s">
        <v>59</v>
      </c>
      <c r="G16" s="11" t="s">
        <v>60</v>
      </c>
      <c r="H16" s="11"/>
      <c r="I16" s="11" t="s">
        <v>61</v>
      </c>
      <c r="J16" s="12" t="s">
        <v>5</v>
      </c>
      <c r="K16" s="11">
        <v>20</v>
      </c>
    </row>
    <row r="17" spans="1:11" s="13" customFormat="1" ht="24" customHeight="1">
      <c r="A17" s="8">
        <v>2021</v>
      </c>
      <c r="B17" s="9" t="s">
        <v>6</v>
      </c>
      <c r="C17" s="9" t="s">
        <v>7</v>
      </c>
      <c r="D17" s="10">
        <v>250</v>
      </c>
      <c r="E17" s="10">
        <v>9.5</v>
      </c>
      <c r="F17" s="10" t="s">
        <v>62</v>
      </c>
      <c r="G17" s="11" t="s">
        <v>63</v>
      </c>
      <c r="H17" s="11" t="s">
        <v>64</v>
      </c>
      <c r="I17" s="11" t="s">
        <v>65</v>
      </c>
      <c r="J17" s="12" t="s">
        <v>66</v>
      </c>
      <c r="K17" s="11" t="s">
        <v>67</v>
      </c>
    </row>
    <row r="18" spans="1:11" s="13" customFormat="1" ht="24" customHeight="1">
      <c r="A18" s="8">
        <v>2021</v>
      </c>
      <c r="B18" s="9" t="s">
        <v>8</v>
      </c>
      <c r="C18" s="9" t="s">
        <v>9</v>
      </c>
      <c r="D18" s="10">
        <v>36</v>
      </c>
      <c r="E18" s="10">
        <v>3.2</v>
      </c>
      <c r="F18" s="10" t="s">
        <v>68</v>
      </c>
      <c r="G18" s="11" t="s">
        <v>69</v>
      </c>
      <c r="H18" s="11"/>
      <c r="I18" s="11" t="s">
        <v>70</v>
      </c>
      <c r="J18" s="12" t="s">
        <v>71</v>
      </c>
      <c r="K18" s="11" t="s">
        <v>72</v>
      </c>
    </row>
    <row r="19" spans="1:11" s="13" customFormat="1" ht="24" customHeight="1">
      <c r="A19" s="8">
        <v>2021</v>
      </c>
      <c r="B19" s="9" t="s">
        <v>10</v>
      </c>
      <c r="C19" s="9" t="s">
        <v>11</v>
      </c>
      <c r="D19" s="10">
        <v>87</v>
      </c>
      <c r="E19" s="10">
        <v>3</v>
      </c>
      <c r="F19" s="10" t="s">
        <v>73</v>
      </c>
      <c r="G19" s="11" t="s">
        <v>74</v>
      </c>
      <c r="H19" s="11" t="s">
        <v>75</v>
      </c>
      <c r="I19" s="11" t="s">
        <v>76</v>
      </c>
      <c r="J19" s="12" t="s">
        <v>77</v>
      </c>
      <c r="K19" s="11" t="s">
        <v>78</v>
      </c>
    </row>
    <row r="20" spans="1:11" s="13" customFormat="1" ht="24" customHeight="1">
      <c r="A20" s="8">
        <v>2021</v>
      </c>
      <c r="B20" s="9" t="s">
        <v>12</v>
      </c>
      <c r="C20" s="9" t="s">
        <v>13</v>
      </c>
      <c r="D20" s="10">
        <v>11</v>
      </c>
      <c r="E20" s="10">
        <v>0.8</v>
      </c>
      <c r="F20" s="10" t="s">
        <v>57</v>
      </c>
      <c r="G20" s="11" t="s">
        <v>79</v>
      </c>
      <c r="H20" s="11"/>
      <c r="I20" s="11" t="s">
        <v>80</v>
      </c>
      <c r="J20" s="12" t="s">
        <v>81</v>
      </c>
      <c r="K20" s="11" t="s">
        <v>82</v>
      </c>
    </row>
    <row r="21" spans="1:11" s="13" customFormat="1" ht="24" customHeight="1">
      <c r="A21" s="8">
        <v>2021</v>
      </c>
      <c r="B21" s="9" t="s">
        <v>14</v>
      </c>
      <c r="C21" s="9" t="s">
        <v>15</v>
      </c>
      <c r="D21" s="10">
        <v>38</v>
      </c>
      <c r="E21" s="10">
        <v>12.6</v>
      </c>
      <c r="F21" s="10" t="s">
        <v>83</v>
      </c>
      <c r="G21" s="11" t="s">
        <v>84</v>
      </c>
      <c r="H21" s="11" t="s">
        <v>85</v>
      </c>
      <c r="I21" s="11" t="s">
        <v>86</v>
      </c>
      <c r="J21" s="12" t="s">
        <v>16</v>
      </c>
      <c r="K21" s="11" t="s">
        <v>87</v>
      </c>
    </row>
    <row r="22" spans="1:11" s="13" customFormat="1" ht="24" customHeight="1">
      <c r="A22" s="8">
        <v>2021</v>
      </c>
      <c r="B22" s="9" t="s">
        <v>17</v>
      </c>
      <c r="C22" s="9" t="s">
        <v>15</v>
      </c>
      <c r="D22" s="10">
        <v>19</v>
      </c>
      <c r="E22" s="10"/>
      <c r="F22" s="10">
        <v>3</v>
      </c>
      <c r="G22" s="11" t="s">
        <v>88</v>
      </c>
      <c r="H22" s="11"/>
      <c r="I22" s="11" t="s">
        <v>89</v>
      </c>
      <c r="J22" s="12" t="s">
        <v>90</v>
      </c>
      <c r="K22" s="11">
        <v>97</v>
      </c>
    </row>
    <row r="23" spans="1:11" s="13" customFormat="1" ht="24" customHeight="1">
      <c r="A23" s="8">
        <v>2021</v>
      </c>
      <c r="B23" s="9" t="s">
        <v>18</v>
      </c>
      <c r="C23" s="9" t="s">
        <v>19</v>
      </c>
      <c r="D23" s="10">
        <v>30</v>
      </c>
      <c r="E23" s="10">
        <v>1.3</v>
      </c>
      <c r="F23" s="10" t="s">
        <v>91</v>
      </c>
      <c r="G23" s="11" t="s">
        <v>92</v>
      </c>
      <c r="H23" s="11"/>
      <c r="I23" s="11" t="s">
        <v>93</v>
      </c>
      <c r="J23" s="12" t="s">
        <v>94</v>
      </c>
      <c r="K23" s="11" t="s">
        <v>95</v>
      </c>
    </row>
    <row r="24" spans="1:11" s="13" customFormat="1" ht="24" customHeight="1">
      <c r="A24" s="8">
        <v>2021</v>
      </c>
      <c r="B24" s="9" t="s">
        <v>20</v>
      </c>
      <c r="C24" s="9" t="s">
        <v>19</v>
      </c>
      <c r="D24" s="10">
        <v>8</v>
      </c>
      <c r="E24" s="10">
        <v>1.5</v>
      </c>
      <c r="F24" s="10" t="s">
        <v>96</v>
      </c>
      <c r="G24" s="11" t="s">
        <v>97</v>
      </c>
      <c r="H24" s="11"/>
      <c r="I24" s="11" t="s">
        <v>98</v>
      </c>
      <c r="J24" s="12" t="s">
        <v>21</v>
      </c>
      <c r="K24" s="11" t="s">
        <v>99</v>
      </c>
    </row>
    <row r="25" spans="1:11" s="13" customFormat="1" ht="24" customHeight="1">
      <c r="A25" s="8">
        <v>2021</v>
      </c>
      <c r="B25" s="9" t="s">
        <v>22</v>
      </c>
      <c r="C25" s="9" t="s">
        <v>23</v>
      </c>
      <c r="D25" s="10">
        <v>60</v>
      </c>
      <c r="E25" s="10">
        <v>4</v>
      </c>
      <c r="F25" s="10"/>
      <c r="G25" s="11" t="s">
        <v>100</v>
      </c>
      <c r="H25" s="11" t="s">
        <v>96</v>
      </c>
      <c r="I25" s="11" t="s">
        <v>101</v>
      </c>
      <c r="J25" s="12" t="s">
        <v>24</v>
      </c>
      <c r="K25" s="11" t="s">
        <v>102</v>
      </c>
    </row>
    <row r="26" spans="1:11" s="13" customFormat="1" ht="24" customHeight="1">
      <c r="A26" s="8">
        <v>2021</v>
      </c>
      <c r="B26" s="9" t="s">
        <v>25</v>
      </c>
      <c r="C26" s="9" t="s">
        <v>23</v>
      </c>
      <c r="D26" s="10">
        <v>24</v>
      </c>
      <c r="E26" s="10" t="s">
        <v>26</v>
      </c>
      <c r="F26" s="10"/>
      <c r="G26" s="11" t="s">
        <v>103</v>
      </c>
      <c r="H26" s="11"/>
      <c r="I26" s="11" t="s">
        <v>103</v>
      </c>
      <c r="J26" s="12" t="s">
        <v>27</v>
      </c>
      <c r="K26" s="11" t="s">
        <v>104</v>
      </c>
    </row>
    <row r="27" spans="1:11" s="13" customFormat="1" ht="24" customHeight="1">
      <c r="A27" s="8">
        <v>2021</v>
      </c>
      <c r="B27" s="19" t="s">
        <v>28</v>
      </c>
      <c r="C27" s="19"/>
      <c r="D27" s="4">
        <v>597</v>
      </c>
      <c r="E27" s="4">
        <v>53.2</v>
      </c>
      <c r="F27" s="4" t="s">
        <v>105</v>
      </c>
      <c r="G27" s="4">
        <v>12.8</v>
      </c>
      <c r="H27" s="4">
        <v>0.38</v>
      </c>
      <c r="I27" s="15">
        <v>22.18</v>
      </c>
      <c r="J27" s="15">
        <v>35.36</v>
      </c>
      <c r="K27" s="4">
        <v>689</v>
      </c>
    </row>
    <row r="28" spans="1:11" s="13" customFormat="1" ht="24" customHeight="1">
      <c r="A28" s="8">
        <v>2022</v>
      </c>
      <c r="B28" s="9" t="s">
        <v>0</v>
      </c>
      <c r="C28" s="9" t="s">
        <v>1</v>
      </c>
      <c r="D28" s="10">
        <v>12</v>
      </c>
      <c r="E28" s="10">
        <v>4.7</v>
      </c>
      <c r="F28" s="10">
        <v>8.23</v>
      </c>
      <c r="G28" s="11">
        <v>0.23</v>
      </c>
      <c r="H28" s="11">
        <v>0.01</v>
      </c>
      <c r="I28" s="11">
        <v>0.01</v>
      </c>
      <c r="J28" s="12">
        <v>0.26</v>
      </c>
      <c r="K28" s="16" t="s">
        <v>29</v>
      </c>
    </row>
    <row r="29" spans="1:11" s="13" customFormat="1" ht="24" customHeight="1">
      <c r="A29" s="8">
        <v>2022</v>
      </c>
      <c r="B29" s="9" t="s">
        <v>3</v>
      </c>
      <c r="C29" s="9" t="s">
        <v>4</v>
      </c>
      <c r="D29" s="10">
        <v>27</v>
      </c>
      <c r="E29" s="10">
        <v>0.9</v>
      </c>
      <c r="F29" s="10">
        <v>2.4</v>
      </c>
      <c r="G29" s="11">
        <v>0.27</v>
      </c>
      <c r="H29" s="11">
        <v>0.38</v>
      </c>
      <c r="I29" s="11"/>
      <c r="J29" s="12">
        <v>0.64</v>
      </c>
      <c r="K29" s="16" t="s">
        <v>30</v>
      </c>
    </row>
    <row r="30" spans="1:11" s="13" customFormat="1" ht="24" customHeight="1">
      <c r="A30" s="8">
        <v>2022</v>
      </c>
      <c r="B30" s="9" t="s">
        <v>6</v>
      </c>
      <c r="C30" s="9" t="s">
        <v>7</v>
      </c>
      <c r="D30" s="10">
        <v>259</v>
      </c>
      <c r="E30" s="10">
        <v>9.5</v>
      </c>
      <c r="F30" s="10">
        <v>208.8</v>
      </c>
      <c r="G30" s="11">
        <v>0.46</v>
      </c>
      <c r="H30" s="11">
        <v>5.96</v>
      </c>
      <c r="I30" s="11">
        <v>0.19</v>
      </c>
      <c r="J30" s="12">
        <v>6.6</v>
      </c>
      <c r="K30" s="16" t="s">
        <v>31</v>
      </c>
    </row>
    <row r="31" spans="1:11" s="13" customFormat="1" ht="24" customHeight="1">
      <c r="A31" s="8">
        <v>2022</v>
      </c>
      <c r="B31" s="9" t="s">
        <v>8</v>
      </c>
      <c r="C31" s="9" t="s">
        <v>9</v>
      </c>
      <c r="D31" s="10">
        <v>38</v>
      </c>
      <c r="E31" s="10">
        <v>3.2</v>
      </c>
      <c r="F31" s="10">
        <v>84</v>
      </c>
      <c r="G31" s="11">
        <v>2.08</v>
      </c>
      <c r="H31" s="11">
        <v>0.56999999999999995</v>
      </c>
      <c r="I31" s="11"/>
      <c r="J31" s="12">
        <v>2.7</v>
      </c>
      <c r="K31" s="16" t="s">
        <v>32</v>
      </c>
    </row>
    <row r="32" spans="1:11" s="13" customFormat="1" ht="24" customHeight="1">
      <c r="A32" s="8">
        <v>2022</v>
      </c>
      <c r="B32" s="9" t="s">
        <v>10</v>
      </c>
      <c r="C32" s="9" t="s">
        <v>11</v>
      </c>
      <c r="D32" s="10">
        <v>90</v>
      </c>
      <c r="E32" s="10">
        <v>3</v>
      </c>
      <c r="F32" s="10">
        <v>72</v>
      </c>
      <c r="G32" s="11">
        <v>7.0000000000000007E-2</v>
      </c>
      <c r="H32" s="11">
        <v>2</v>
      </c>
      <c r="I32" s="11">
        <v>0.2</v>
      </c>
      <c r="J32" s="12">
        <v>2.34</v>
      </c>
      <c r="K32" s="16" t="s">
        <v>33</v>
      </c>
    </row>
    <row r="33" spans="1:11" s="13" customFormat="1" ht="24" customHeight="1">
      <c r="A33" s="8">
        <v>2022</v>
      </c>
      <c r="B33" s="9" t="s">
        <v>12</v>
      </c>
      <c r="C33" s="9" t="s">
        <v>13</v>
      </c>
      <c r="D33" s="10">
        <v>11</v>
      </c>
      <c r="E33" s="10">
        <v>0.8</v>
      </c>
      <c r="F33" s="10">
        <v>3.3</v>
      </c>
      <c r="G33" s="11">
        <v>0.06</v>
      </c>
      <c r="H33" s="11">
        <v>0.05</v>
      </c>
      <c r="I33" s="11"/>
      <c r="J33" s="12">
        <v>0.11</v>
      </c>
      <c r="K33" s="16" t="s">
        <v>34</v>
      </c>
    </row>
    <row r="34" spans="1:11" s="13" customFormat="1" ht="24" customHeight="1">
      <c r="A34" s="8">
        <v>2022</v>
      </c>
      <c r="B34" s="9" t="s">
        <v>14</v>
      </c>
      <c r="C34" s="9" t="s">
        <v>15</v>
      </c>
      <c r="D34" s="10">
        <v>43</v>
      </c>
      <c r="E34" s="10">
        <v>12.6</v>
      </c>
      <c r="F34" s="10">
        <v>42.2</v>
      </c>
      <c r="G34" s="11">
        <v>0.41</v>
      </c>
      <c r="H34" s="11">
        <v>0.92</v>
      </c>
      <c r="I34" s="11">
        <v>1.2E-2</v>
      </c>
      <c r="J34" s="12">
        <v>1.35</v>
      </c>
      <c r="K34" s="16" t="s">
        <v>35</v>
      </c>
    </row>
    <row r="35" spans="1:11" s="13" customFormat="1" ht="24" customHeight="1">
      <c r="A35" s="8">
        <v>2022</v>
      </c>
      <c r="B35" s="9" t="s">
        <v>17</v>
      </c>
      <c r="C35" s="9" t="s">
        <v>15</v>
      </c>
      <c r="D35" s="10">
        <v>20</v>
      </c>
      <c r="E35" s="10"/>
      <c r="F35" s="10">
        <v>99.6</v>
      </c>
      <c r="G35" s="11">
        <v>2.91</v>
      </c>
      <c r="H35" s="11">
        <v>0.22</v>
      </c>
      <c r="I35" s="11"/>
      <c r="J35" s="12">
        <v>3.21</v>
      </c>
      <c r="K35" s="16" t="s">
        <v>36</v>
      </c>
    </row>
    <row r="36" spans="1:11" s="13" customFormat="1" ht="24" customHeight="1">
      <c r="A36" s="8">
        <v>2022</v>
      </c>
      <c r="B36" s="9" t="s">
        <v>18</v>
      </c>
      <c r="C36" s="9" t="s">
        <v>19</v>
      </c>
      <c r="D36" s="10">
        <v>33</v>
      </c>
      <c r="E36" s="10">
        <v>1.3</v>
      </c>
      <c r="F36" s="10">
        <v>60.9</v>
      </c>
      <c r="G36" s="11">
        <v>1.62</v>
      </c>
      <c r="H36" s="11">
        <v>0.31</v>
      </c>
      <c r="I36" s="11"/>
      <c r="J36" s="12">
        <v>1.9</v>
      </c>
      <c r="K36" s="16" t="s">
        <v>37</v>
      </c>
    </row>
    <row r="37" spans="1:11" s="13" customFormat="1" ht="24" customHeight="1">
      <c r="A37" s="8">
        <v>2022</v>
      </c>
      <c r="B37" s="9" t="s">
        <v>20</v>
      </c>
      <c r="C37" s="9" t="s">
        <v>19</v>
      </c>
      <c r="D37" s="10">
        <v>9</v>
      </c>
      <c r="E37" s="10">
        <v>1.5</v>
      </c>
      <c r="F37" s="10">
        <v>5.71</v>
      </c>
      <c r="G37" s="11">
        <v>0.02</v>
      </c>
      <c r="H37" s="11">
        <v>0.16</v>
      </c>
      <c r="I37" s="11"/>
      <c r="J37" s="12">
        <v>0.19</v>
      </c>
      <c r="K37" s="16" t="s">
        <v>38</v>
      </c>
    </row>
    <row r="38" spans="1:11" s="13" customFormat="1" ht="24" customHeight="1">
      <c r="A38" s="8">
        <v>2022</v>
      </c>
      <c r="B38" s="9" t="s">
        <v>22</v>
      </c>
      <c r="C38" s="9" t="s">
        <v>23</v>
      </c>
      <c r="D38" s="10">
        <v>67</v>
      </c>
      <c r="E38" s="10">
        <v>4</v>
      </c>
      <c r="F38" s="10">
        <v>45.1</v>
      </c>
      <c r="G38" s="11">
        <v>0</v>
      </c>
      <c r="H38" s="11">
        <v>1.41</v>
      </c>
      <c r="I38" s="11">
        <v>0.02</v>
      </c>
      <c r="J38" s="12">
        <v>1.43</v>
      </c>
      <c r="K38" s="16" t="s">
        <v>39</v>
      </c>
    </row>
    <row r="39" spans="1:11" s="13" customFormat="1" ht="24" customHeight="1">
      <c r="A39" s="8">
        <v>2022</v>
      </c>
      <c r="B39" s="9" t="s">
        <v>40</v>
      </c>
      <c r="C39" s="9" t="s">
        <v>23</v>
      </c>
      <c r="D39" s="10">
        <v>24</v>
      </c>
      <c r="E39" s="10">
        <v>11.7</v>
      </c>
      <c r="F39" s="10">
        <v>39.200000000000003</v>
      </c>
      <c r="G39" s="11"/>
      <c r="H39" s="11">
        <v>1.24</v>
      </c>
      <c r="I39" s="11"/>
      <c r="J39" s="12">
        <v>1.24</v>
      </c>
      <c r="K39" s="16" t="s">
        <v>41</v>
      </c>
    </row>
    <row r="40" spans="1:11" s="13" customFormat="1" ht="24" customHeight="1">
      <c r="A40" s="8">
        <v>2022</v>
      </c>
      <c r="B40" s="19" t="s">
        <v>28</v>
      </c>
      <c r="C40" s="19"/>
      <c r="D40" s="4">
        <v>633</v>
      </c>
      <c r="E40" s="4">
        <v>53.2</v>
      </c>
      <c r="F40" s="4">
        <v>671.44</v>
      </c>
      <c r="G40" s="4">
        <v>8.129999999999999</v>
      </c>
      <c r="H40" s="4">
        <v>13.230000000000002</v>
      </c>
      <c r="I40" s="4">
        <v>0.43200000000000005</v>
      </c>
      <c r="J40" s="4">
        <v>21.969999999999995</v>
      </c>
      <c r="K40" s="4"/>
    </row>
    <row r="41" spans="1:11" s="13" customFormat="1" ht="24" customHeight="1">
      <c r="A41" s="8">
        <v>2023</v>
      </c>
      <c r="B41" s="9" t="s">
        <v>0</v>
      </c>
      <c r="C41" s="9" t="s">
        <v>1</v>
      </c>
      <c r="D41" s="10">
        <v>12</v>
      </c>
      <c r="E41" s="10">
        <v>4.7</v>
      </c>
      <c r="F41" s="17">
        <v>8.23</v>
      </c>
      <c r="G41" s="11">
        <v>0.23</v>
      </c>
      <c r="H41" s="11">
        <v>0.01</v>
      </c>
      <c r="I41" s="11">
        <v>0.01</v>
      </c>
      <c r="J41" s="12">
        <f>G41+H41+I41</f>
        <v>0.25</v>
      </c>
      <c r="K41" s="16" t="s">
        <v>29</v>
      </c>
    </row>
    <row r="42" spans="1:11" s="13" customFormat="1" ht="24" customHeight="1">
      <c r="A42" s="8">
        <v>2023</v>
      </c>
      <c r="B42" s="9" t="s">
        <v>3</v>
      </c>
      <c r="C42" s="9" t="s">
        <v>4</v>
      </c>
      <c r="D42" s="10">
        <v>27</v>
      </c>
      <c r="E42" s="10">
        <v>0.9</v>
      </c>
      <c r="F42" s="17">
        <v>2.4</v>
      </c>
      <c r="G42" s="11">
        <v>0.28999999999999998</v>
      </c>
      <c r="H42" s="11">
        <v>0.47</v>
      </c>
      <c r="I42" s="11"/>
      <c r="J42" s="12">
        <f t="shared" ref="J42:J52" si="1">G42+H42+I42</f>
        <v>0.76</v>
      </c>
      <c r="K42" s="16" t="s">
        <v>30</v>
      </c>
    </row>
    <row r="43" spans="1:11" s="13" customFormat="1" ht="24" customHeight="1">
      <c r="A43" s="8">
        <v>2023</v>
      </c>
      <c r="B43" s="9" t="s">
        <v>6</v>
      </c>
      <c r="C43" s="9" t="s">
        <v>7</v>
      </c>
      <c r="D43" s="10">
        <v>265</v>
      </c>
      <c r="E43" s="10">
        <v>9.5</v>
      </c>
      <c r="F43" s="17">
        <v>208.8</v>
      </c>
      <c r="G43" s="11">
        <v>0.38</v>
      </c>
      <c r="H43" s="11">
        <v>6.04</v>
      </c>
      <c r="I43" s="11">
        <v>0.17</v>
      </c>
      <c r="J43" s="12">
        <f t="shared" si="1"/>
        <v>6.59</v>
      </c>
      <c r="K43" s="16" t="s">
        <v>31</v>
      </c>
    </row>
    <row r="44" spans="1:11" s="13" customFormat="1" ht="24" customHeight="1">
      <c r="A44" s="8">
        <v>2023</v>
      </c>
      <c r="B44" s="9" t="s">
        <v>8</v>
      </c>
      <c r="C44" s="9" t="s">
        <v>9</v>
      </c>
      <c r="D44" s="10">
        <v>38</v>
      </c>
      <c r="E44" s="10">
        <v>3.2</v>
      </c>
      <c r="F44" s="17">
        <v>84</v>
      </c>
      <c r="G44" s="11">
        <v>1.48</v>
      </c>
      <c r="H44" s="11">
        <v>0.63</v>
      </c>
      <c r="I44" s="11"/>
      <c r="J44" s="12">
        <f t="shared" si="1"/>
        <v>2.11</v>
      </c>
      <c r="K44" s="16" t="s">
        <v>32</v>
      </c>
    </row>
    <row r="45" spans="1:11" s="13" customFormat="1" ht="24" customHeight="1">
      <c r="A45" s="8">
        <v>2023</v>
      </c>
      <c r="B45" s="9" t="s">
        <v>10</v>
      </c>
      <c r="C45" s="9" t="s">
        <v>11</v>
      </c>
      <c r="D45" s="10">
        <v>92</v>
      </c>
      <c r="E45" s="10">
        <v>3</v>
      </c>
      <c r="F45" s="17">
        <v>72</v>
      </c>
      <c r="G45" s="11">
        <v>7.0000000000000007E-2</v>
      </c>
      <c r="H45" s="11">
        <v>2.02</v>
      </c>
      <c r="I45" s="11">
        <v>0.23</v>
      </c>
      <c r="J45" s="12">
        <f t="shared" si="1"/>
        <v>2.3199999999999998</v>
      </c>
      <c r="K45" s="16" t="s">
        <v>33</v>
      </c>
    </row>
    <row r="46" spans="1:11" s="13" customFormat="1" ht="24" customHeight="1">
      <c r="A46" s="8">
        <v>2023</v>
      </c>
      <c r="B46" s="9" t="s">
        <v>12</v>
      </c>
      <c r="C46" s="9" t="s">
        <v>13</v>
      </c>
      <c r="D46" s="10">
        <v>11</v>
      </c>
      <c r="E46" s="10">
        <v>0.8</v>
      </c>
      <c r="F46" s="17">
        <v>3.3</v>
      </c>
      <c r="G46" s="11">
        <v>0.16</v>
      </c>
      <c r="H46" s="11">
        <v>1.05</v>
      </c>
      <c r="I46" s="11"/>
      <c r="J46" s="12">
        <f t="shared" si="1"/>
        <v>1.21</v>
      </c>
      <c r="K46" s="16" t="s">
        <v>34</v>
      </c>
    </row>
    <row r="47" spans="1:11" s="13" customFormat="1" ht="24" customHeight="1">
      <c r="A47" s="8">
        <v>2023</v>
      </c>
      <c r="B47" s="9" t="s">
        <v>14</v>
      </c>
      <c r="C47" s="9" t="s">
        <v>15</v>
      </c>
      <c r="D47" s="10">
        <v>45</v>
      </c>
      <c r="E47" s="10">
        <v>12.6</v>
      </c>
      <c r="F47" s="17">
        <v>42.2</v>
      </c>
      <c r="G47" s="11">
        <v>0.4</v>
      </c>
      <c r="H47" s="11">
        <v>0.97</v>
      </c>
      <c r="I47" s="11">
        <v>1.2E-2</v>
      </c>
      <c r="J47" s="12">
        <f t="shared" si="1"/>
        <v>1.3820000000000001</v>
      </c>
      <c r="K47" s="16" t="s">
        <v>35</v>
      </c>
    </row>
    <row r="48" spans="1:11" s="13" customFormat="1" ht="24" customHeight="1">
      <c r="A48" s="8">
        <v>2023</v>
      </c>
      <c r="B48" s="9" t="s">
        <v>17</v>
      </c>
      <c r="C48" s="9" t="s">
        <v>15</v>
      </c>
      <c r="D48" s="10">
        <v>21</v>
      </c>
      <c r="E48" s="10"/>
      <c r="F48" s="17">
        <v>99.6</v>
      </c>
      <c r="G48" s="11">
        <v>2.35</v>
      </c>
      <c r="H48" s="11">
        <v>0.22</v>
      </c>
      <c r="I48" s="11"/>
      <c r="J48" s="12">
        <f t="shared" si="1"/>
        <v>2.5700000000000003</v>
      </c>
      <c r="K48" s="16" t="s">
        <v>36</v>
      </c>
    </row>
    <row r="49" spans="1:11" s="13" customFormat="1" ht="24" customHeight="1">
      <c r="A49" s="8">
        <v>2023</v>
      </c>
      <c r="B49" s="9" t="s">
        <v>18</v>
      </c>
      <c r="C49" s="9" t="s">
        <v>19</v>
      </c>
      <c r="D49" s="10">
        <v>36</v>
      </c>
      <c r="E49" s="10">
        <v>1.3</v>
      </c>
      <c r="F49" s="17">
        <v>60.9</v>
      </c>
      <c r="G49" s="11">
        <v>1.47</v>
      </c>
      <c r="H49" s="11">
        <v>0.45</v>
      </c>
      <c r="I49" s="11"/>
      <c r="J49" s="12">
        <f t="shared" si="1"/>
        <v>1.92</v>
      </c>
      <c r="K49" s="16" t="s">
        <v>37</v>
      </c>
    </row>
    <row r="50" spans="1:11" s="13" customFormat="1" ht="24" customHeight="1">
      <c r="A50" s="8">
        <v>2023</v>
      </c>
      <c r="B50" s="9" t="s">
        <v>20</v>
      </c>
      <c r="C50" s="9" t="s">
        <v>19</v>
      </c>
      <c r="D50" s="10">
        <v>9</v>
      </c>
      <c r="E50" s="10">
        <v>1.5</v>
      </c>
      <c r="F50" s="17">
        <v>5.71</v>
      </c>
      <c r="G50" s="11">
        <v>0.02</v>
      </c>
      <c r="H50" s="11">
        <v>0.17</v>
      </c>
      <c r="I50" s="11"/>
      <c r="J50" s="12">
        <f t="shared" si="1"/>
        <v>0.19</v>
      </c>
      <c r="K50" s="16" t="s">
        <v>38</v>
      </c>
    </row>
    <row r="51" spans="1:11" s="13" customFormat="1" ht="24" customHeight="1">
      <c r="A51" s="8">
        <v>2023</v>
      </c>
      <c r="B51" s="9" t="s">
        <v>22</v>
      </c>
      <c r="C51" s="9" t="s">
        <v>23</v>
      </c>
      <c r="D51" s="10">
        <v>78</v>
      </c>
      <c r="E51" s="10">
        <v>4</v>
      </c>
      <c r="F51" s="17">
        <v>45.1</v>
      </c>
      <c r="G51" s="11">
        <v>0</v>
      </c>
      <c r="H51" s="11">
        <v>1.57</v>
      </c>
      <c r="I51" s="11">
        <v>0.02</v>
      </c>
      <c r="J51" s="12">
        <f t="shared" si="1"/>
        <v>1.59</v>
      </c>
      <c r="K51" s="16" t="s">
        <v>39</v>
      </c>
    </row>
    <row r="52" spans="1:11" s="13" customFormat="1" ht="24" customHeight="1">
      <c r="A52" s="8">
        <v>2023</v>
      </c>
      <c r="B52" s="9" t="s">
        <v>40</v>
      </c>
      <c r="C52" s="9" t="s">
        <v>23</v>
      </c>
      <c r="D52" s="10">
        <v>24</v>
      </c>
      <c r="E52" s="10">
        <v>11.7</v>
      </c>
      <c r="F52" s="17">
        <v>39.200000000000003</v>
      </c>
      <c r="G52" s="11"/>
      <c r="H52" s="11">
        <v>1.19</v>
      </c>
      <c r="I52" s="11"/>
      <c r="J52" s="12">
        <f t="shared" si="1"/>
        <v>1.19</v>
      </c>
      <c r="K52" s="16" t="s">
        <v>41</v>
      </c>
    </row>
    <row r="53" spans="1:11" s="13" customFormat="1" ht="24" customHeight="1">
      <c r="A53" s="8">
        <v>2023</v>
      </c>
      <c r="B53" s="19" t="s">
        <v>28</v>
      </c>
      <c r="C53" s="19"/>
      <c r="D53" s="4">
        <f>SUM(D41:D52)</f>
        <v>658</v>
      </c>
      <c r="E53" s="4">
        <f t="shared" ref="E53:J53" si="2">SUM(E41:E52)</f>
        <v>53.2</v>
      </c>
      <c r="F53" s="18">
        <f t="shared" si="2"/>
        <v>671.44</v>
      </c>
      <c r="G53" s="4">
        <f t="shared" si="2"/>
        <v>6.8499999999999988</v>
      </c>
      <c r="H53" s="4">
        <f t="shared" si="2"/>
        <v>14.790000000000001</v>
      </c>
      <c r="I53" s="4">
        <f t="shared" si="2"/>
        <v>0.44200000000000006</v>
      </c>
      <c r="J53" s="4">
        <f t="shared" si="2"/>
        <v>22.082000000000004</v>
      </c>
      <c r="K53" s="4"/>
    </row>
    <row r="54" spans="1:11">
      <c r="B54" s="2" t="s">
        <v>42</v>
      </c>
      <c r="G54" s="1"/>
      <c r="H54" s="1"/>
      <c r="I54" s="1"/>
      <c r="J54" s="1"/>
      <c r="K54" s="1"/>
    </row>
  </sheetData>
  <mergeCells count="5">
    <mergeCell ref="E8:E9"/>
    <mergeCell ref="B14:C14"/>
    <mergeCell ref="B40:C40"/>
    <mergeCell ref="B27:C27"/>
    <mergeCell ref="B53:C5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Riadh</dc:creator>
  <cp:lastModifiedBy>user 4 onagri</cp:lastModifiedBy>
  <dcterms:created xsi:type="dcterms:W3CDTF">2019-11-06T13:44:40Z</dcterms:created>
  <dcterms:modified xsi:type="dcterms:W3CDTF">2025-05-24T13:43:03Z</dcterms:modified>
</cp:coreProperties>
</file>