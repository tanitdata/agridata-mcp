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3" i="1" l="1"/>
  <c r="E32" i="1"/>
</calcChain>
</file>

<file path=xl/sharedStrings.xml><?xml version="1.0" encoding="utf-8"?>
<sst xmlns="http://schemas.openxmlformats.org/spreadsheetml/2006/main" count="144" uniqueCount="92">
  <si>
    <t>سنة الإدراج بالميزانية</t>
  </si>
  <si>
    <t>العناصر</t>
  </si>
  <si>
    <t>البرنامج</t>
  </si>
  <si>
    <t>المحتوى المادي</t>
  </si>
  <si>
    <t>المحتوى المالي (أد)</t>
  </si>
  <si>
    <t>ملاحظات</t>
  </si>
  <si>
    <t>أشغال المحافظة على المياه والتربة</t>
  </si>
  <si>
    <t>AFD</t>
  </si>
  <si>
    <t xml:space="preserve"> 200 هك</t>
  </si>
  <si>
    <t xml:space="preserve"> تقدم الإنجاز 100%</t>
  </si>
  <si>
    <t>2011</t>
  </si>
  <si>
    <t>إحداث بئر عميقة العقلة بمنزل قمودي</t>
  </si>
  <si>
    <t>حفر البئر العميقة سيدي عيش الشرقية</t>
  </si>
  <si>
    <t>تدعيم PDAI</t>
  </si>
  <si>
    <t xml:space="preserve"> تقدم الإنجاز 100% (14 ل/ث)</t>
  </si>
  <si>
    <t>إحداث منطقة سقوية القرية 1</t>
  </si>
  <si>
    <t>Piseau 2</t>
  </si>
  <si>
    <t xml:space="preserve"> تعهد قناة الضخ لشبكة الماء الصالح للشراب بالقرية</t>
  </si>
  <si>
    <t>البرنامج الوطني</t>
  </si>
  <si>
    <t>تعهد مشروع الماء الصالح للشراب بالقرية</t>
  </si>
  <si>
    <t>تزويد منطقة االعمايمية بالماء الصالح للشراب</t>
  </si>
  <si>
    <t>BAD</t>
  </si>
  <si>
    <t>تعهد مشروع الماء الصالح للشراب أولاد الحاج بوعلاق</t>
  </si>
  <si>
    <t xml:space="preserve"> تقدم الإنجاز 100% </t>
  </si>
  <si>
    <t>حفر البئر العميقة المقالصية</t>
  </si>
  <si>
    <t xml:space="preserve"> تقدم الإنجاز 100% (1غ/ل و14 ل/ث)</t>
  </si>
  <si>
    <t>حفر البئر العميقة هنشير الكسكسي</t>
  </si>
  <si>
    <t>إحداث منطقة للري التكميلي بسيدي عيش المركز</t>
  </si>
  <si>
    <t>حفر بئر  السوينية  الطرش</t>
  </si>
  <si>
    <t>حفر بئر بالغرس السوينية 3</t>
  </si>
  <si>
    <t xml:space="preserve"> تقدم الإنجاز 100% ( 9ل/ث و0,8 غ/ل)</t>
  </si>
  <si>
    <t>حفر بئر السوينية  الحي بسيدي عيش</t>
  </si>
  <si>
    <t>مشروع شمال الولاية</t>
  </si>
  <si>
    <t>حفر بئرهنشير بوعلام سيدي عيش 150 م</t>
  </si>
  <si>
    <t xml:space="preserve"> تقدم الإنجاز 100% (24ل/ث)</t>
  </si>
  <si>
    <t>تزويد منطقة السوينية الغباطنية أولاد يوسف  الطرش بالماء ص ش</t>
  </si>
  <si>
    <t xml:space="preserve">المشروع الجهوي للتنمية </t>
  </si>
  <si>
    <t>2014</t>
  </si>
  <si>
    <t>تزويد منطقة الفطايمية بالماء ص ش</t>
  </si>
  <si>
    <t>2013</t>
  </si>
  <si>
    <r>
      <t>قسط عد</t>
    </r>
    <r>
      <rPr>
        <sz val="13"/>
        <rFont val="Calibri"/>
        <family val="2"/>
        <scheme val="minor"/>
      </rPr>
      <t>د 3 : مد شبكة الماء الصالح للشراب العبادلية والصغايرية (العمايمية 1 و2)</t>
    </r>
  </si>
  <si>
    <t>حفر بئر عميقة بمنطقة سيدي عيش المركز2 (220م)</t>
  </si>
  <si>
    <t xml:space="preserve">برنامج التنمية المندمجة </t>
  </si>
  <si>
    <t xml:space="preserve"> تقدم الإنجاز 100% (12 ل/ث- 0,8غ/ل)</t>
  </si>
  <si>
    <t>إحداث منطقة سقوية للري التكميلي  بمنطقة السوينية الطرش (100 هك)</t>
  </si>
  <si>
    <r>
      <t>تقدم الاشغال 45</t>
    </r>
    <r>
      <rPr>
        <sz val="13"/>
        <rFont val="Calibri"/>
        <family val="2"/>
      </rPr>
      <t>%</t>
    </r>
  </si>
  <si>
    <t>إحداث منطقة سقوية للري التكميلي  بمنطقة سيدي عيش المركز 2 (30 هك)</t>
  </si>
  <si>
    <t xml:space="preserve">في اتنظار بطاقة الخصائص الفنية للبئرلانجاز دراسة المشروع </t>
  </si>
  <si>
    <t xml:space="preserve">تزويد 03 مناطق ريفية بالماء الصالح للشرب </t>
  </si>
  <si>
    <r>
      <t>تقدم الانجاز 50</t>
    </r>
    <r>
      <rPr>
        <sz val="13"/>
        <rFont val="Calibri"/>
        <family val="2"/>
      </rPr>
      <t>%, التجهيز:في طور فتح الاعتمادات, الكهربة:تمت مراسلة مصالح التنمية المندمجة للموافقة على تقديرات steg</t>
    </r>
  </si>
  <si>
    <t xml:space="preserve">حفر بئر عميقة بمنطقة الكربة بمنزل قمودي </t>
  </si>
  <si>
    <t xml:space="preserve"> تقدم الإنجاز 100% (13,5 ل/ث- 1غ/ل)</t>
  </si>
  <si>
    <t>حفر بئرالعبابسة القرية</t>
  </si>
  <si>
    <t xml:space="preserve"> تقدم الإنجاز 100% (10 ل/ث)</t>
  </si>
  <si>
    <t>حفر بئرالعيثة منزل قمودي</t>
  </si>
  <si>
    <t xml:space="preserve"> تقدم الإنجاز 100% (08 ل/ث)</t>
  </si>
  <si>
    <t>احداث منطقة سقوية للري التكميلي هنشير الكسكسي</t>
  </si>
  <si>
    <t>30 هك</t>
  </si>
  <si>
    <r>
      <t>تقدم الانجاز100</t>
    </r>
    <r>
      <rPr>
        <sz val="12"/>
        <rFont val="Calibri"/>
        <family val="2"/>
      </rPr>
      <t>%</t>
    </r>
    <r>
      <rPr>
        <sz val="12"/>
        <rFont val="Arial"/>
        <family val="2"/>
      </rPr>
      <t xml:space="preserve"> الكهربة</t>
    </r>
    <r>
      <rPr>
        <sz val="12"/>
        <rFont val="Calibri"/>
        <family val="2"/>
      </rPr>
      <t>:</t>
    </r>
    <r>
      <rPr>
        <sz val="12"/>
        <rFont val="Arial"/>
        <family val="2"/>
      </rPr>
      <t>تم مد الsteg بطلب التزود</t>
    </r>
  </si>
  <si>
    <t>احداث منطقة سقوية العمايمية</t>
  </si>
  <si>
    <t>تهيئة وصيانة شبكات الماء الصالح للشرب بمنطقة السوينية والعبابسة</t>
  </si>
  <si>
    <t>مد شبكة الماء الصالح للشرب بمشروع المقالصية</t>
  </si>
  <si>
    <t>المشروع الجهوي للتنمية</t>
  </si>
  <si>
    <t>تهيئة مسالك فلاحية</t>
  </si>
  <si>
    <t>9 كلم</t>
  </si>
  <si>
    <r>
      <rPr>
        <b/>
        <sz val="12"/>
        <rFont val="Arial"/>
        <family val="2"/>
      </rPr>
      <t>تقدم الإنجاز 100</t>
    </r>
    <r>
      <rPr>
        <b/>
        <sz val="12"/>
        <rFont val="Calibri"/>
        <family val="2"/>
      </rPr>
      <t>%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( </t>
    </r>
    <r>
      <rPr>
        <b/>
        <sz val="12"/>
        <rFont val="Calibri"/>
        <family val="2"/>
      </rPr>
      <t xml:space="preserve">3 </t>
    </r>
    <r>
      <rPr>
        <sz val="12"/>
        <rFont val="Calibri"/>
        <family val="2"/>
      </rPr>
      <t xml:space="preserve"> كلم مسلك سيدي عيش في اتجاه هنشير الكسكسي-  </t>
    </r>
    <r>
      <rPr>
        <b/>
        <sz val="12"/>
        <rFont val="Calibri"/>
        <family val="2"/>
      </rPr>
      <t xml:space="preserve">6 </t>
    </r>
    <r>
      <rPr>
        <sz val="12"/>
        <rFont val="Calibri"/>
        <family val="2"/>
      </rPr>
      <t xml:space="preserve">كلم مسلك  العمايمية الحي في اتجاه القراملية </t>
    </r>
  </si>
  <si>
    <t>تزود منطقة العقلة بالماء الصالح للشراب</t>
  </si>
  <si>
    <t>البنك الافريقي للتنمية</t>
  </si>
  <si>
    <r>
      <t>تقدم الانجاز100% التجهيز:تم التزود الكهربة</t>
    </r>
    <r>
      <rPr>
        <sz val="12"/>
        <rFont val="Calibri"/>
        <family val="2"/>
      </rPr>
      <t>:</t>
    </r>
    <r>
      <rPr>
        <sz val="12"/>
        <rFont val="Arial"/>
        <family val="2"/>
      </rPr>
      <t xml:space="preserve"> تم مد الsteg بطلب التزود</t>
    </r>
  </si>
  <si>
    <t>تعهد مشروع الماء الصالح للشرب القراملية</t>
  </si>
  <si>
    <t>مشروع غير قابل للتنفيذ بسبب إشكال عقاري البئر موجودة بأرض الشخص المعترض</t>
  </si>
  <si>
    <t>4,5 كلم</t>
  </si>
  <si>
    <r>
      <rPr>
        <b/>
        <sz val="11"/>
        <rFont val="Arial"/>
        <family val="2"/>
      </rPr>
      <t xml:space="preserve"> تقدم الإنجاز 100</t>
    </r>
    <r>
      <rPr>
        <b/>
        <sz val="11"/>
        <rFont val="Calibri"/>
        <family val="2"/>
      </rPr>
      <t>%</t>
    </r>
    <r>
      <rPr>
        <sz val="11"/>
        <rFont val="Arial"/>
        <family val="2"/>
      </rPr>
      <t xml:space="preserve">( </t>
    </r>
    <r>
      <rPr>
        <b/>
        <sz val="11"/>
        <rFont val="Calibri"/>
        <family val="2"/>
      </rPr>
      <t xml:space="preserve">4,5 </t>
    </r>
    <r>
      <rPr>
        <sz val="11"/>
        <rFont val="Calibri"/>
        <family val="2"/>
      </rPr>
      <t xml:space="preserve"> كلم مسلك من دوار العقلة إلى منزل قمودي)</t>
    </r>
  </si>
  <si>
    <t>إحداث بئر البزاينية (500 م)</t>
  </si>
  <si>
    <t>شركة فسفاط قفصة</t>
  </si>
  <si>
    <t>100%(12ل/ث و 0,6 غ/ل)</t>
  </si>
  <si>
    <t>إحداث بئر الفطايمية  (350 م)</t>
  </si>
  <si>
    <t xml:space="preserve"> تقدم الإنجاز 100%  (12ل/ث و 1 غ/ل)</t>
  </si>
  <si>
    <t>إحداث بئر الصغايرية (250 م)</t>
  </si>
  <si>
    <t xml:space="preserve"> تقدم الإنجاز 100%  (17ل/ث و1,8 غ/ل)</t>
  </si>
  <si>
    <t>إحداث بئر العوانسية (500م)</t>
  </si>
  <si>
    <t xml:space="preserve"> تقدم الإنجاز100% (17ل/ث  و  1,6 غ/ث)</t>
  </si>
  <si>
    <t>حفر بئر للماء الصالح للشرب بالبكاكرية: 350م</t>
  </si>
  <si>
    <t>350م</t>
  </si>
  <si>
    <t xml:space="preserve">بصدد اتمام الاجراءات التعاقدية للصفقة </t>
  </si>
  <si>
    <t xml:space="preserve">حفر بئر عميقة القرية مكرر(ابار تعويضية) </t>
  </si>
  <si>
    <t>البرنامج الوطني للادارة العامة</t>
  </si>
  <si>
    <t>بصدد التحضير لانطلاق الاشغال</t>
  </si>
  <si>
    <t xml:space="preserve">استصلاح المنطقة السقوية مقسم القرية </t>
  </si>
  <si>
    <t>50 هك</t>
  </si>
  <si>
    <t>اوقفت الدراسة في مرحلتها الاولى لاعتراض المواطنين, اجلت لسنة 2021</t>
  </si>
  <si>
    <t xml:space="preserve">المجموع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</si>
</sst>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Arabic Transparent"/>
      <charset val="178"/>
    </font>
    <font>
      <b/>
      <sz val="14"/>
      <color theme="1"/>
      <name val="Arabic Transparent"/>
      <charset val="178"/>
    </font>
    <font>
      <b/>
      <sz val="12"/>
      <color theme="1"/>
      <name val="Arabic Transparent"/>
      <charset val="178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9"/>
      <color theme="1"/>
      <name val="Arabic Transparent"/>
      <charset val="178"/>
    </font>
    <font>
      <sz val="12"/>
      <name val="Arial"/>
      <family val="2"/>
    </font>
    <font>
      <b/>
      <sz val="12"/>
      <color indexed="8"/>
      <name val="Times New Roman"/>
      <family val="1"/>
    </font>
    <font>
      <sz val="13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Arabic Transparent"/>
      <charset val="178"/>
    </font>
    <font>
      <b/>
      <sz val="11"/>
      <name val="Calibri"/>
      <family val="2"/>
      <scheme val="minor"/>
    </font>
    <font>
      <sz val="11"/>
      <name val="Arial"/>
      <family val="2"/>
    </font>
    <font>
      <b/>
      <sz val="12"/>
      <name val="Arabic Transparent"/>
      <charset val="178"/>
    </font>
    <font>
      <sz val="9"/>
      <color theme="1"/>
      <name val="Calibri"/>
      <family val="2"/>
      <scheme val="minor"/>
    </font>
    <font>
      <b/>
      <sz val="9"/>
      <name val="Times New Roman"/>
      <family val="1"/>
    </font>
    <font>
      <b/>
      <sz val="13"/>
      <name val="Calibri"/>
      <family val="2"/>
      <scheme val="minor"/>
    </font>
    <font>
      <sz val="13"/>
      <name val="Calibri"/>
      <family val="2"/>
    </font>
    <font>
      <sz val="12"/>
      <name val="Calibri"/>
      <family val="2"/>
    </font>
    <font>
      <b/>
      <sz val="12"/>
      <name val="Arial"/>
      <family val="2"/>
    </font>
    <font>
      <b/>
      <sz val="12"/>
      <name val="Calibri"/>
      <family val="2"/>
    </font>
    <font>
      <b/>
      <sz val="1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5"/>
      <color theme="1"/>
      <name val="Arabic Transparent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3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 readingOrder="2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 readingOrder="2"/>
    </xf>
    <xf numFmtId="3" fontId="4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3" fontId="9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 readingOrder="2"/>
    </xf>
    <xf numFmtId="0" fontId="12" fillId="0" borderId="1" xfId="0" applyFont="1" applyFill="1" applyBorder="1" applyAlignment="1">
      <alignment horizontal="center" vertical="center" wrapText="1" readingOrder="2"/>
    </xf>
    <xf numFmtId="0" fontId="8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 readingOrder="2"/>
    </xf>
    <xf numFmtId="0" fontId="1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 readingOrder="2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 readingOrder="2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 readingOrder="2"/>
    </xf>
    <xf numFmtId="3" fontId="19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righ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 wrapText="1" readingOrder="2"/>
    </xf>
    <xf numFmtId="0" fontId="8" fillId="0" borderId="1" xfId="0" applyFont="1" applyFill="1" applyBorder="1" applyAlignment="1">
      <alignment horizontal="center" vertical="center" wrapText="1" readingOrder="2"/>
    </xf>
    <xf numFmtId="0" fontId="15" fillId="0" borderId="1" xfId="0" applyFont="1" applyFill="1" applyBorder="1" applyAlignment="1">
      <alignment horizontal="center" vertical="center" wrapText="1" readingOrder="2"/>
    </xf>
    <xf numFmtId="9" fontId="8" fillId="0" borderId="1" xfId="0" applyNumberFormat="1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 readingOrder="2"/>
    </xf>
    <xf numFmtId="0" fontId="0" fillId="0" borderId="1" xfId="0" applyFill="1" applyBorder="1" applyAlignment="1">
      <alignment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sqref="A1:F43"/>
    </sheetView>
  </sheetViews>
  <sheetFormatPr baseColWidth="10" defaultColWidth="9.140625" defaultRowHeight="15" x14ac:dyDescent="0.25"/>
  <sheetData>
    <row r="1" spans="1:6" ht="54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63" x14ac:dyDescent="0.25">
      <c r="A2" s="4">
        <v>2011</v>
      </c>
      <c r="B2" s="5" t="s">
        <v>6</v>
      </c>
      <c r="C2" s="6" t="s">
        <v>7</v>
      </c>
      <c r="D2" s="7" t="s">
        <v>8</v>
      </c>
      <c r="E2" s="8">
        <v>322</v>
      </c>
      <c r="F2" s="9" t="s">
        <v>9</v>
      </c>
    </row>
    <row r="3" spans="1:6" ht="63" x14ac:dyDescent="0.25">
      <c r="A3" s="4">
        <v>2012</v>
      </c>
      <c r="B3" s="5" t="s">
        <v>6</v>
      </c>
      <c r="C3" s="6" t="s">
        <v>7</v>
      </c>
      <c r="D3" s="7" t="s">
        <v>8</v>
      </c>
      <c r="E3" s="8">
        <v>302.46940000000001</v>
      </c>
      <c r="F3" s="9" t="s">
        <v>9</v>
      </c>
    </row>
    <row r="4" spans="1:6" ht="103.5" x14ac:dyDescent="0.25">
      <c r="A4" s="10" t="s">
        <v>10</v>
      </c>
      <c r="B4" s="11" t="s">
        <v>11</v>
      </c>
      <c r="C4" s="6" t="s">
        <v>7</v>
      </c>
      <c r="D4" s="12">
        <v>1</v>
      </c>
      <c r="E4" s="12">
        <v>145.345</v>
      </c>
      <c r="F4" s="9" t="s">
        <v>9</v>
      </c>
    </row>
    <row r="5" spans="1:6" ht="86.25" x14ac:dyDescent="0.25">
      <c r="A5" s="10" t="s">
        <v>10</v>
      </c>
      <c r="B5" s="13" t="s">
        <v>12</v>
      </c>
      <c r="C5" s="14" t="s">
        <v>13</v>
      </c>
      <c r="D5" s="12">
        <v>1</v>
      </c>
      <c r="E5" s="12">
        <v>562.01</v>
      </c>
      <c r="F5" s="9" t="s">
        <v>14</v>
      </c>
    </row>
    <row r="6" spans="1:6" ht="60" x14ac:dyDescent="0.25">
      <c r="A6" s="15">
        <v>2010</v>
      </c>
      <c r="B6" s="16" t="s">
        <v>15</v>
      </c>
      <c r="C6" s="14" t="s">
        <v>16</v>
      </c>
      <c r="D6" s="17">
        <v>1</v>
      </c>
      <c r="E6" s="12">
        <v>641</v>
      </c>
      <c r="F6" s="9" t="s">
        <v>9</v>
      </c>
    </row>
    <row r="7" spans="1:6" ht="105" x14ac:dyDescent="0.25">
      <c r="A7" s="15">
        <v>2011</v>
      </c>
      <c r="B7" s="16" t="s">
        <v>17</v>
      </c>
      <c r="C7" s="18" t="s">
        <v>18</v>
      </c>
      <c r="D7" s="17">
        <v>1</v>
      </c>
      <c r="E7" s="12">
        <v>212</v>
      </c>
      <c r="F7" s="9" t="s">
        <v>9</v>
      </c>
    </row>
    <row r="8" spans="1:6" ht="90" x14ac:dyDescent="0.25">
      <c r="A8" s="15">
        <v>2011</v>
      </c>
      <c r="B8" s="16" t="s">
        <v>19</v>
      </c>
      <c r="C8" s="18" t="s">
        <v>18</v>
      </c>
      <c r="D8" s="17">
        <v>1</v>
      </c>
      <c r="E8" s="12">
        <v>547</v>
      </c>
      <c r="F8" s="9" t="s">
        <v>9</v>
      </c>
    </row>
    <row r="9" spans="1:6" ht="90" x14ac:dyDescent="0.25">
      <c r="A9" s="15">
        <v>2012</v>
      </c>
      <c r="B9" s="16" t="s">
        <v>20</v>
      </c>
      <c r="C9" s="18" t="s">
        <v>21</v>
      </c>
      <c r="D9" s="17">
        <v>1</v>
      </c>
      <c r="E9" s="8">
        <v>546</v>
      </c>
      <c r="F9" s="9" t="s">
        <v>9</v>
      </c>
    </row>
    <row r="10" spans="1:6" ht="120" x14ac:dyDescent="0.25">
      <c r="A10" s="4">
        <v>2012</v>
      </c>
      <c r="B10" s="16" t="s">
        <v>22</v>
      </c>
      <c r="C10" s="4" t="s">
        <v>18</v>
      </c>
      <c r="D10" s="19">
        <v>1</v>
      </c>
      <c r="E10" s="8">
        <v>615.46199999999999</v>
      </c>
      <c r="F10" s="9" t="s">
        <v>23</v>
      </c>
    </row>
    <row r="11" spans="1:6" ht="71.25" x14ac:dyDescent="0.25">
      <c r="A11" s="4">
        <v>2012</v>
      </c>
      <c r="B11" s="11" t="s">
        <v>24</v>
      </c>
      <c r="C11" s="4" t="s">
        <v>18</v>
      </c>
      <c r="D11" s="19">
        <v>1</v>
      </c>
      <c r="E11" s="8">
        <v>217.59</v>
      </c>
      <c r="F11" s="20" t="s">
        <v>25</v>
      </c>
    </row>
    <row r="12" spans="1:6" ht="71.25" x14ac:dyDescent="0.25">
      <c r="A12" s="4">
        <v>2012</v>
      </c>
      <c r="B12" s="11" t="s">
        <v>26</v>
      </c>
      <c r="C12" s="4" t="s">
        <v>18</v>
      </c>
      <c r="D12" s="19">
        <v>1</v>
      </c>
      <c r="E12" s="8">
        <v>217.59</v>
      </c>
      <c r="F12" s="20" t="s">
        <v>25</v>
      </c>
    </row>
    <row r="13" spans="1:6" ht="120.75" x14ac:dyDescent="0.25">
      <c r="A13" s="21">
        <v>2012</v>
      </c>
      <c r="B13" s="11" t="s">
        <v>27</v>
      </c>
      <c r="C13" s="14" t="s">
        <v>18</v>
      </c>
      <c r="D13" s="17">
        <v>1</v>
      </c>
      <c r="E13" s="8">
        <v>264.78609999999998</v>
      </c>
      <c r="F13" s="9" t="s">
        <v>9</v>
      </c>
    </row>
    <row r="14" spans="1:6" ht="51.75" x14ac:dyDescent="0.25">
      <c r="A14" s="21">
        <v>2012</v>
      </c>
      <c r="B14" s="11" t="s">
        <v>28</v>
      </c>
      <c r="C14" s="14" t="s">
        <v>18</v>
      </c>
      <c r="D14" s="17">
        <v>1</v>
      </c>
      <c r="E14" s="8">
        <v>193.03</v>
      </c>
      <c r="F14" s="9" t="s">
        <v>9</v>
      </c>
    </row>
    <row r="15" spans="1:6" ht="71.25" x14ac:dyDescent="0.25">
      <c r="A15" s="21">
        <v>2013</v>
      </c>
      <c r="B15" s="11" t="s">
        <v>29</v>
      </c>
      <c r="C15" s="14" t="s">
        <v>18</v>
      </c>
      <c r="D15" s="17">
        <v>1</v>
      </c>
      <c r="E15" s="8">
        <v>172.96</v>
      </c>
      <c r="F15" s="20" t="s">
        <v>30</v>
      </c>
    </row>
    <row r="16" spans="1:6" ht="86.25" x14ac:dyDescent="0.25">
      <c r="A16" s="21">
        <v>2014</v>
      </c>
      <c r="B16" s="11" t="s">
        <v>31</v>
      </c>
      <c r="C16" s="22" t="s">
        <v>32</v>
      </c>
      <c r="D16" s="17">
        <v>1</v>
      </c>
      <c r="E16" s="8">
        <v>212.91</v>
      </c>
      <c r="F16" s="9" t="s">
        <v>14</v>
      </c>
    </row>
    <row r="17" spans="1:6" ht="103.5" x14ac:dyDescent="0.25">
      <c r="A17" s="21">
        <v>2016</v>
      </c>
      <c r="B17" s="11" t="s">
        <v>33</v>
      </c>
      <c r="C17" s="22" t="s">
        <v>32</v>
      </c>
      <c r="D17" s="17">
        <v>1</v>
      </c>
      <c r="E17" s="8">
        <v>170</v>
      </c>
      <c r="F17" s="9" t="s">
        <v>34</v>
      </c>
    </row>
    <row r="18" spans="1:6" ht="155.25" x14ac:dyDescent="0.25">
      <c r="A18" s="10" t="s">
        <v>10</v>
      </c>
      <c r="B18" s="11" t="s">
        <v>35</v>
      </c>
      <c r="C18" s="23" t="s">
        <v>36</v>
      </c>
      <c r="D18" s="12">
        <v>1</v>
      </c>
      <c r="E18" s="24">
        <v>90</v>
      </c>
      <c r="F18" s="9" t="s">
        <v>9</v>
      </c>
    </row>
    <row r="19" spans="1:6" ht="86.25" x14ac:dyDescent="0.25">
      <c r="A19" s="10" t="s">
        <v>37</v>
      </c>
      <c r="B19" s="11" t="s">
        <v>38</v>
      </c>
      <c r="C19" s="23" t="s">
        <v>36</v>
      </c>
      <c r="D19" s="12">
        <v>1</v>
      </c>
      <c r="E19" s="24">
        <v>500</v>
      </c>
      <c r="F19" s="9" t="s">
        <v>9</v>
      </c>
    </row>
    <row r="20" spans="1:6" ht="189.75" x14ac:dyDescent="0.25">
      <c r="A20" s="10" t="s">
        <v>39</v>
      </c>
      <c r="B20" s="11" t="s">
        <v>40</v>
      </c>
      <c r="C20" s="23" t="s">
        <v>36</v>
      </c>
      <c r="D20" s="12">
        <v>1</v>
      </c>
      <c r="E20" s="24">
        <v>180</v>
      </c>
      <c r="F20" s="9" t="s">
        <v>9</v>
      </c>
    </row>
    <row r="21" spans="1:6" ht="120.75" x14ac:dyDescent="0.25">
      <c r="A21" s="12">
        <v>2014</v>
      </c>
      <c r="B21" s="11" t="s">
        <v>41</v>
      </c>
      <c r="C21" s="25" t="s">
        <v>42</v>
      </c>
      <c r="D21" s="12">
        <v>1</v>
      </c>
      <c r="E21" s="24">
        <v>202.9</v>
      </c>
      <c r="F21" s="20" t="s">
        <v>43</v>
      </c>
    </row>
    <row r="22" spans="1:6" ht="172.5" x14ac:dyDescent="0.25">
      <c r="A22" s="12">
        <v>2014</v>
      </c>
      <c r="B22" s="11" t="s">
        <v>44</v>
      </c>
      <c r="C22" s="25" t="s">
        <v>42</v>
      </c>
      <c r="D22" s="12">
        <v>1</v>
      </c>
      <c r="E22" s="24">
        <v>586.5</v>
      </c>
      <c r="F22" s="26" t="s">
        <v>45</v>
      </c>
    </row>
    <row r="23" spans="1:6" ht="172.5" x14ac:dyDescent="0.25">
      <c r="A23" s="12">
        <v>2014</v>
      </c>
      <c r="B23" s="11" t="s">
        <v>46</v>
      </c>
      <c r="C23" s="25" t="s">
        <v>42</v>
      </c>
      <c r="D23" s="12">
        <v>1</v>
      </c>
      <c r="E23" s="24">
        <v>627.79999999999995</v>
      </c>
      <c r="F23" s="26" t="s">
        <v>47</v>
      </c>
    </row>
    <row r="24" spans="1:6" ht="310.5" x14ac:dyDescent="0.25">
      <c r="A24" s="12">
        <v>2014</v>
      </c>
      <c r="B24" s="11" t="s">
        <v>48</v>
      </c>
      <c r="C24" s="25" t="s">
        <v>42</v>
      </c>
      <c r="D24" s="12">
        <v>1</v>
      </c>
      <c r="E24" s="24">
        <v>600</v>
      </c>
      <c r="F24" s="26" t="s">
        <v>49</v>
      </c>
    </row>
    <row r="25" spans="1:6" ht="103.5" x14ac:dyDescent="0.25">
      <c r="A25" s="12">
        <v>2015</v>
      </c>
      <c r="B25" s="11" t="s">
        <v>50</v>
      </c>
      <c r="C25" s="25" t="s">
        <v>18</v>
      </c>
      <c r="D25" s="12">
        <v>1</v>
      </c>
      <c r="E25" s="24">
        <v>150</v>
      </c>
      <c r="F25" s="20" t="s">
        <v>51</v>
      </c>
    </row>
    <row r="26" spans="1:6" ht="60" x14ac:dyDescent="0.25">
      <c r="A26" s="21">
        <v>2015</v>
      </c>
      <c r="B26" s="11" t="s">
        <v>52</v>
      </c>
      <c r="C26" s="22" t="s">
        <v>32</v>
      </c>
      <c r="D26" s="17">
        <v>1</v>
      </c>
      <c r="E26" s="8">
        <v>450</v>
      </c>
      <c r="F26" s="9" t="s">
        <v>53</v>
      </c>
    </row>
    <row r="27" spans="1:6" ht="69" x14ac:dyDescent="0.25">
      <c r="A27" s="21">
        <v>2015</v>
      </c>
      <c r="B27" s="11" t="s">
        <v>54</v>
      </c>
      <c r="C27" s="22" t="s">
        <v>32</v>
      </c>
      <c r="D27" s="17">
        <v>1</v>
      </c>
      <c r="E27" s="8">
        <v>225</v>
      </c>
      <c r="F27" s="9" t="s">
        <v>55</v>
      </c>
    </row>
    <row r="28" spans="1:6" ht="121.5" x14ac:dyDescent="0.25">
      <c r="A28" s="21">
        <v>2016</v>
      </c>
      <c r="B28" s="11" t="s">
        <v>56</v>
      </c>
      <c r="C28" s="22" t="s">
        <v>32</v>
      </c>
      <c r="D28" s="17" t="s">
        <v>57</v>
      </c>
      <c r="E28" s="8">
        <v>650</v>
      </c>
      <c r="F28" s="9" t="s">
        <v>58</v>
      </c>
    </row>
    <row r="29" spans="1:6" ht="69" x14ac:dyDescent="0.25">
      <c r="A29" s="21">
        <v>2016</v>
      </c>
      <c r="B29" s="11" t="s">
        <v>59</v>
      </c>
      <c r="C29" s="22" t="s">
        <v>32</v>
      </c>
      <c r="D29" s="17" t="s">
        <v>57</v>
      </c>
      <c r="E29" s="8">
        <v>500</v>
      </c>
      <c r="F29" s="9" t="s">
        <v>23</v>
      </c>
    </row>
    <row r="30" spans="1:6" ht="155.25" x14ac:dyDescent="0.25">
      <c r="A30" s="21">
        <v>2016</v>
      </c>
      <c r="B30" s="11" t="s">
        <v>60</v>
      </c>
      <c r="C30" s="22" t="s">
        <v>32</v>
      </c>
      <c r="D30" s="17">
        <v>1</v>
      </c>
      <c r="E30" s="8">
        <v>1000</v>
      </c>
      <c r="F30" s="9" t="s">
        <v>23</v>
      </c>
    </row>
    <row r="31" spans="1:6" ht="103.5" x14ac:dyDescent="0.25">
      <c r="A31" s="15">
        <v>2015</v>
      </c>
      <c r="B31" s="11" t="s">
        <v>61</v>
      </c>
      <c r="C31" s="27" t="s">
        <v>62</v>
      </c>
      <c r="D31" s="15">
        <v>1</v>
      </c>
      <c r="E31" s="28">
        <v>500</v>
      </c>
      <c r="F31" s="9" t="s">
        <v>9</v>
      </c>
    </row>
    <row r="32" spans="1:6" ht="252" x14ac:dyDescent="0.25">
      <c r="A32" s="15">
        <v>2015</v>
      </c>
      <c r="B32" s="11" t="s">
        <v>63</v>
      </c>
      <c r="C32" s="6" t="s">
        <v>32</v>
      </c>
      <c r="D32" s="15" t="s">
        <v>64</v>
      </c>
      <c r="E32" s="28">
        <f>140.7*9</f>
        <v>1266.3</v>
      </c>
      <c r="F32" s="29" t="s">
        <v>65</v>
      </c>
    </row>
    <row r="33" spans="1:6" ht="150.75" x14ac:dyDescent="0.25">
      <c r="A33" s="15">
        <v>2016</v>
      </c>
      <c r="B33" s="11" t="s">
        <v>66</v>
      </c>
      <c r="C33" s="6" t="s">
        <v>67</v>
      </c>
      <c r="D33" s="15">
        <v>1</v>
      </c>
      <c r="E33" s="28">
        <v>800</v>
      </c>
      <c r="F33" s="9" t="s">
        <v>68</v>
      </c>
    </row>
    <row r="34" spans="1:6" ht="173.25" x14ac:dyDescent="0.25">
      <c r="A34" s="15">
        <v>2016</v>
      </c>
      <c r="B34" s="11" t="s">
        <v>69</v>
      </c>
      <c r="C34" s="6" t="s">
        <v>18</v>
      </c>
      <c r="D34" s="15">
        <v>1</v>
      </c>
      <c r="E34" s="28">
        <v>650</v>
      </c>
      <c r="F34" s="5" t="s">
        <v>70</v>
      </c>
    </row>
    <row r="35" spans="1:6" ht="120" x14ac:dyDescent="0.25">
      <c r="A35" s="15">
        <v>2016</v>
      </c>
      <c r="B35" s="11" t="s">
        <v>63</v>
      </c>
      <c r="C35" s="6" t="s">
        <v>18</v>
      </c>
      <c r="D35" s="15" t="s">
        <v>71</v>
      </c>
      <c r="E35" s="28">
        <v>675</v>
      </c>
      <c r="F35" s="30" t="s">
        <v>72</v>
      </c>
    </row>
    <row r="36" spans="1:6" ht="69" x14ac:dyDescent="0.25">
      <c r="A36" s="15">
        <v>2017</v>
      </c>
      <c r="B36" s="11" t="s">
        <v>73</v>
      </c>
      <c r="C36" s="6" t="s">
        <v>74</v>
      </c>
      <c r="D36" s="15">
        <v>1</v>
      </c>
      <c r="E36" s="15">
        <v>380</v>
      </c>
      <c r="F36" s="31" t="s">
        <v>75</v>
      </c>
    </row>
    <row r="37" spans="1:6" ht="86.25" x14ac:dyDescent="0.25">
      <c r="A37" s="15">
        <v>2017</v>
      </c>
      <c r="B37" s="11" t="s">
        <v>76</v>
      </c>
      <c r="C37" s="6" t="s">
        <v>74</v>
      </c>
      <c r="D37" s="15">
        <v>1</v>
      </c>
      <c r="E37" s="15">
        <v>240</v>
      </c>
      <c r="F37" s="9" t="s">
        <v>77</v>
      </c>
    </row>
    <row r="38" spans="1:6" ht="90" x14ac:dyDescent="0.25">
      <c r="A38" s="15">
        <v>2017</v>
      </c>
      <c r="B38" s="11" t="s">
        <v>78</v>
      </c>
      <c r="C38" s="6" t="s">
        <v>74</v>
      </c>
      <c r="D38" s="15">
        <v>1</v>
      </c>
      <c r="E38" s="15">
        <v>170</v>
      </c>
      <c r="F38" s="9" t="s">
        <v>79</v>
      </c>
    </row>
    <row r="39" spans="1:6" ht="90" x14ac:dyDescent="0.25">
      <c r="A39" s="15">
        <v>2017</v>
      </c>
      <c r="B39" s="11" t="s">
        <v>80</v>
      </c>
      <c r="C39" s="6" t="s">
        <v>18</v>
      </c>
      <c r="D39" s="15">
        <v>1</v>
      </c>
      <c r="E39" s="15">
        <v>600</v>
      </c>
      <c r="F39" s="9" t="s">
        <v>81</v>
      </c>
    </row>
    <row r="40" spans="1:6" ht="103.5" x14ac:dyDescent="0.25">
      <c r="A40" s="15">
        <v>2018</v>
      </c>
      <c r="B40" s="11" t="s">
        <v>82</v>
      </c>
      <c r="C40" s="18" t="s">
        <v>21</v>
      </c>
      <c r="D40" s="15" t="s">
        <v>83</v>
      </c>
      <c r="E40" s="28">
        <v>350</v>
      </c>
      <c r="F40" s="29" t="s">
        <v>84</v>
      </c>
    </row>
    <row r="41" spans="1:6" ht="86.25" x14ac:dyDescent="0.25">
      <c r="A41" s="15">
        <v>2018</v>
      </c>
      <c r="B41" s="11" t="s">
        <v>85</v>
      </c>
      <c r="C41" s="18" t="s">
        <v>86</v>
      </c>
      <c r="D41" s="15" t="s">
        <v>83</v>
      </c>
      <c r="E41" s="28">
        <v>350</v>
      </c>
      <c r="F41" s="29" t="s">
        <v>87</v>
      </c>
    </row>
    <row r="42" spans="1:6" ht="135" x14ac:dyDescent="0.25">
      <c r="A42" s="15">
        <v>2021</v>
      </c>
      <c r="B42" s="11" t="s">
        <v>88</v>
      </c>
      <c r="C42" s="18" t="s">
        <v>86</v>
      </c>
      <c r="D42" s="15" t="s">
        <v>89</v>
      </c>
      <c r="E42" s="28">
        <v>800</v>
      </c>
      <c r="F42" s="29" t="s">
        <v>90</v>
      </c>
    </row>
    <row r="43" spans="1:6" ht="19.5" x14ac:dyDescent="0.25">
      <c r="A43" s="32" t="s">
        <v>91</v>
      </c>
      <c r="B43" s="32"/>
      <c r="C43" s="32"/>
      <c r="D43" s="33"/>
      <c r="E43" s="3">
        <f>SUM(E2:E42)</f>
        <v>17885.6525</v>
      </c>
      <c r="F43" s="4"/>
    </row>
  </sheetData>
  <mergeCells count="1">
    <mergeCell ref="A43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2023-05-18T10:55:48Z</dcterms:modified>
</cp:coreProperties>
</file>