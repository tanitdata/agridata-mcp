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</calcChain>
</file>

<file path=xl/sharedStrings.xml><?xml version="1.0" encoding="utf-8"?>
<sst xmlns="http://schemas.openxmlformats.org/spreadsheetml/2006/main" count="168" uniqueCount="107">
  <si>
    <t>سنة الإدراج بالميزانية</t>
  </si>
  <si>
    <t>العناصر</t>
  </si>
  <si>
    <t>البرنامج</t>
  </si>
  <si>
    <t>المحتوى المادي</t>
  </si>
  <si>
    <t>المحتوى المالي (أد)</t>
  </si>
  <si>
    <t>ملاحظات</t>
  </si>
  <si>
    <t>BAD</t>
  </si>
  <si>
    <r>
      <t>تقدم الإنجاز 100</t>
    </r>
    <r>
      <rPr>
        <b/>
        <sz val="12"/>
        <color indexed="17"/>
        <rFont val="Calibri"/>
        <family val="2"/>
      </rPr>
      <t>%</t>
    </r>
  </si>
  <si>
    <t xml:space="preserve">تزويد مشروع الركائز البيض بالماء الصالح للشراب </t>
  </si>
  <si>
    <t>البرنامج الوطني</t>
  </si>
  <si>
    <t>2013</t>
  </si>
  <si>
    <t xml:space="preserve">تزويد منطقة هنشير قطيف بالماء الصالح للشراب </t>
  </si>
  <si>
    <t>تعهد شبكة الماء الصالح للشراب وادي لصفر</t>
  </si>
  <si>
    <t xml:space="preserve"> تقدم الإنجاز 100%</t>
  </si>
  <si>
    <t xml:space="preserve">حفر بئر الانطلاقة 2 </t>
  </si>
  <si>
    <t xml:space="preserve"> تقدم الإنجاز 100% (14 ل/ث 0,4 غ /ل)</t>
  </si>
  <si>
    <t xml:space="preserve">حفر بئر العلندة 2 </t>
  </si>
  <si>
    <t>حفر البئر العميقة وادي لصفر</t>
  </si>
  <si>
    <t>المشروع الثاني للتنمية الفلاحية المندمجة</t>
  </si>
  <si>
    <t xml:space="preserve"> تقدم الإنجاز 100% بئر إيجابية (12 ل/ث ملوحة 1 غ/ل)</t>
  </si>
  <si>
    <t>حفر بئر عميقة للري بضيعة الإرشاد الفلاحي بالعقيلة</t>
  </si>
  <si>
    <t>مشروع التنمية الفلاحية لشمال ولاية قفصة</t>
  </si>
  <si>
    <t>تهيئة مسالك فلاحية داخل الواحة</t>
  </si>
  <si>
    <t>10,2 كلم</t>
  </si>
  <si>
    <t>تدعيم الري بواحة قفصة (احداث بئر عميقة مكررGSR 2)</t>
  </si>
  <si>
    <t>تدعي الري بواحة قفصة (احداث بئر عميقة ثلاثيGSR3)</t>
  </si>
  <si>
    <t>تدعيم الري بواحة قفصة (احداث بئر عميقة GSR 8)</t>
  </si>
  <si>
    <t>تدعيم الري بواحة قفصة (احداث بئر عميقة GSR7)</t>
  </si>
  <si>
    <t>تدعيم الري بواحة قفصة (احداث بئر عميقة الراقوبة  RP14 مكرر)</t>
  </si>
  <si>
    <t>تدعيم الري بواحة قفصة (احداث بئر عميقة الراقوبة  RP8 مكرر)</t>
  </si>
  <si>
    <t xml:space="preserve"> تقدم الإنجاز 100% (100ل/ث)</t>
  </si>
  <si>
    <t>تدعيم الري بواحة قفصة (احداث بئر عميقة الراقوبة  RP13 مكرر)</t>
  </si>
  <si>
    <t>حفر البئر العميقة فيض البلوم-كاف دربي</t>
  </si>
  <si>
    <t xml:space="preserve"> تقدم الإنجاز 100% (11 ل/ث)</t>
  </si>
  <si>
    <t>صيانة محطات الضخ بالراقوبة</t>
  </si>
  <si>
    <t>تعهد شبكة الري الرئيسية بواحة قفصة</t>
  </si>
  <si>
    <t>حفر بئر بخد رابح - الناظور</t>
  </si>
  <si>
    <t xml:space="preserve"> تقدم الإنجاز 100% (0,6غ/ل  و15 ل/ث)</t>
  </si>
  <si>
    <t>حفر بئر العثامنية الناظور للماء الصالح للشرب (200م)</t>
  </si>
  <si>
    <t xml:space="preserve"> تقدم الإنجاز 100 %  (04 ل/ث)</t>
  </si>
  <si>
    <t>حفر بئر تعوضية القطار 1</t>
  </si>
  <si>
    <t xml:space="preserve"> تقدم الإنجاز 100 %  (35 ل/ث)</t>
  </si>
  <si>
    <t>حفر بئر عميقة تعويضية بكاف دربي المركز (180م)</t>
  </si>
  <si>
    <t xml:space="preserve"> تقدم الإنجاز 100% (11 ل/ث   و1غ/ل)</t>
  </si>
  <si>
    <t>حفر بئر عميقة للماء الصالح للشرب بهنشير بروكة (250م)</t>
  </si>
  <si>
    <t xml:space="preserve"> تقدم الإنجاز 100% (3 ل/ث)</t>
  </si>
  <si>
    <t>2011</t>
  </si>
  <si>
    <t>تزويد منطقة السعايدية بالماء ص ش</t>
  </si>
  <si>
    <t xml:space="preserve">المشروع الجهوي للتنمية </t>
  </si>
  <si>
    <t>2012</t>
  </si>
  <si>
    <r>
      <t>قسط عد</t>
    </r>
    <r>
      <rPr>
        <sz val="13"/>
        <rFont val="Calibri"/>
        <family val="2"/>
        <scheme val="minor"/>
      </rPr>
      <t>د 1 : تعهد شبكة الماء الصالح للشراب بخد رابح (300 ساكن)</t>
    </r>
  </si>
  <si>
    <t xml:space="preserve">قسط عدد 3 : مد شبكة الماء الصالح للشراب بمشروع  مجموعة شوية مجموعة طريق سيدي بوبكر ومجموعة عبد العزيز رحال                                     </t>
  </si>
  <si>
    <t>حفر بئر عميقة بمنطقة حفرة السدر(180م)</t>
  </si>
  <si>
    <t xml:space="preserve">برنامج التنمية المندمجة </t>
  </si>
  <si>
    <t>حفر بئر عميقة بمنطقة العظلة الحمراء(220م)</t>
  </si>
  <si>
    <t xml:space="preserve"> تقدم الإنجاز 100% (8 ل/ث 1غ/ل)</t>
  </si>
  <si>
    <t>إحداث منطقة سقوية للري التكميلي  بمنطقة حفرة السدر(100 هك)</t>
  </si>
  <si>
    <t>تم فرز عروض الدراسة و ارسالها للولاية لتحضير BC</t>
  </si>
  <si>
    <t>إحداث منطقة سقوية للري التكميلي  بمنطقة العظلة الحمراء(100 هك)</t>
  </si>
  <si>
    <t xml:space="preserve">في طور تقييم العروض </t>
  </si>
  <si>
    <t>احداث البئر التعويضية واد عيسى</t>
  </si>
  <si>
    <t xml:space="preserve"> تقدم الإنجاز 100% (18 ل/ث   و2غ/ل) </t>
  </si>
  <si>
    <t>احداث البئر العميقة الطفل</t>
  </si>
  <si>
    <t xml:space="preserve"> تقدم الإنجاز 100% (19 ل/ث   و4,2غ/ل)</t>
  </si>
  <si>
    <t>احداث بئر لأشغال سد وادي الكبير</t>
  </si>
  <si>
    <t xml:space="preserve"> تقدم الإنجاز 100% (11 ل/ث   و0,75غ/ل)</t>
  </si>
  <si>
    <t>تهيئة مسالك فلاحية</t>
  </si>
  <si>
    <t>مشروع شمال الولاية</t>
  </si>
  <si>
    <t>17 كلم</t>
  </si>
  <si>
    <r>
      <rPr>
        <b/>
        <sz val="11"/>
        <rFont val="Arial"/>
        <family val="2"/>
      </rPr>
      <t xml:space="preserve">تقدم الإنجاز 100 </t>
    </r>
    <r>
      <rPr>
        <b/>
        <sz val="11"/>
        <rFont val="Calibri"/>
        <family val="2"/>
      </rPr>
      <t>%</t>
    </r>
    <r>
      <rPr>
        <sz val="11"/>
        <rFont val="Arial"/>
        <family val="2"/>
      </rPr>
      <t xml:space="preserve">(لإنجاز: </t>
    </r>
    <r>
      <rPr>
        <b/>
        <sz val="11"/>
        <rFont val="Calibri"/>
        <family val="2"/>
      </rPr>
      <t xml:space="preserve">4,5 </t>
    </r>
    <r>
      <rPr>
        <sz val="11"/>
        <rFont val="Calibri"/>
        <family val="2"/>
      </rPr>
      <t xml:space="preserve"> كلم مسلك االقيطنة في اتجاه الترشيح وخلية الإرشاد الفلاحي القصبة -  </t>
    </r>
    <r>
      <rPr>
        <b/>
        <sz val="11"/>
        <rFont val="Calibri"/>
        <family val="2"/>
      </rPr>
      <t xml:space="preserve">9 </t>
    </r>
    <r>
      <rPr>
        <sz val="11"/>
        <rFont val="Calibri"/>
        <family val="2"/>
      </rPr>
      <t xml:space="preserve">كلم مسلك من GP3 في اتجاه عجال الخمايلية - </t>
    </r>
    <r>
      <rPr>
        <b/>
        <sz val="11"/>
        <rFont val="Calibri"/>
        <family val="2"/>
      </rPr>
      <t>1</t>
    </r>
    <r>
      <rPr>
        <sz val="11"/>
        <rFont val="Calibri"/>
        <family val="2"/>
      </rPr>
      <t xml:space="preserve"> كلم مسلك رملة الكرمة - </t>
    </r>
    <r>
      <rPr>
        <b/>
        <sz val="11"/>
        <rFont val="Calibri"/>
        <family val="2"/>
      </rPr>
      <t xml:space="preserve">2,5 </t>
    </r>
    <r>
      <rPr>
        <sz val="11"/>
        <rFont val="Calibri"/>
        <family val="2"/>
      </rPr>
      <t>كلم مسلك خلية الإرشاد قفصة الجنوبية في اتجاه بية</t>
    </r>
  </si>
  <si>
    <t>احداث البئر العميقة اولاد سلامة</t>
  </si>
  <si>
    <t xml:space="preserve"> تقدم الإنجاز 100% (18 ل/ث )</t>
  </si>
  <si>
    <t>إحداث منطقة سقوية للري التكميلي  بخد رابح</t>
  </si>
  <si>
    <t>150 هك</t>
  </si>
  <si>
    <t xml:space="preserve"> تقدم الإنجاز 90%:  وجود تعطيلات من طرف المواطنين لاضافتهم بالمشروع  </t>
  </si>
  <si>
    <t>تزويد منطقة فيض البلوم بالماء الصالح للشرب</t>
  </si>
  <si>
    <r>
      <t>steg</t>
    </r>
    <r>
      <rPr>
        <sz val="13"/>
        <rFont val="Calibri"/>
        <family val="2"/>
      </rPr>
      <t>:انتهت الاشغال , الكهربة 40%</t>
    </r>
  </si>
  <si>
    <t>تعهد مشروع الماء الصالح للشراب الإنطلاقة</t>
  </si>
  <si>
    <t xml:space="preserve">تم الاعلان عن طلب العروض </t>
  </si>
  <si>
    <t>تعهد مشروع الماء الصالح للشراب القطار 1 (1500 ساكن)</t>
  </si>
  <si>
    <t>دراسة إعادة تهيئة واحة الجنوب الغربي (709 هك) وواحة القصبة (698 هك)</t>
  </si>
  <si>
    <t xml:space="preserve">في طور مناقشة المرحلة الثانية من الدراسة بالنسبة لقفصة الجنوبية والمرحلة الثالثة بالنسبة للقصبة </t>
  </si>
  <si>
    <t>حفر بئر عميقة بمنطقة العظلة الحمراء(تيرونيان 500م)</t>
  </si>
  <si>
    <t>برنامج المجلس الجهوية (تمويل شركة فسفاط قفصة)</t>
  </si>
  <si>
    <t>حفر بئر عميقة بمنطقة هنشير قطيف (تيرونيان 500م)</t>
  </si>
  <si>
    <t>(6ل/ث و 2,5 غ/ل )    %100</t>
  </si>
  <si>
    <t>حفر بئر عميقة بالواحة GSR9 (200م)</t>
  </si>
  <si>
    <t xml:space="preserve"> (16ل/ث و 2,6غ/ل )100%</t>
  </si>
  <si>
    <t>حفر بئر عميقة بسد العرش بالطفل(200م)</t>
  </si>
  <si>
    <t>100% (2,5ل/ث و 5,4 غ/ل)</t>
  </si>
  <si>
    <t>حفر بئر عميقة بكاف دربي 3(200م)</t>
  </si>
  <si>
    <t>في انتظار انطلاق الأشغال</t>
  </si>
  <si>
    <t>مد خط رئيسي لكهربة الأبار العميقة العمومية والآبار السطحية</t>
  </si>
  <si>
    <t>بصدد إتمام إجراءات إبرام صفقة بالتفاوض المباشر</t>
  </si>
  <si>
    <t>تزويد منطقة هنشير بروكة (200ساكن)</t>
  </si>
  <si>
    <t xml:space="preserve">تعهد مشروع منطقة كاف دربي (700 ساكن) للماء الصالح للشرب </t>
  </si>
  <si>
    <r>
      <t>تقدم الانجاز</t>
    </r>
    <r>
      <rPr>
        <sz val="12"/>
        <rFont val="Calibri"/>
        <family val="2"/>
      </rPr>
      <t>:</t>
    </r>
    <r>
      <rPr>
        <sz val="10.199999999999999"/>
        <rFont val="Arial"/>
        <family val="2"/>
      </rPr>
      <t>90</t>
    </r>
    <r>
      <rPr>
        <sz val="10.199999999999999"/>
        <rFont val="Calibri"/>
        <family val="2"/>
      </rPr>
      <t>%</t>
    </r>
  </si>
  <si>
    <t>14,2 كلم</t>
  </si>
  <si>
    <r>
      <rPr>
        <b/>
        <sz val="12"/>
        <rFont val="Arial"/>
        <family val="2"/>
      </rPr>
      <t xml:space="preserve">تقدم الإنجاز : بصدد تسجيل الصفقة </t>
    </r>
    <r>
      <rPr>
        <sz val="12"/>
        <rFont val="Arial"/>
        <family val="2"/>
      </rPr>
      <t>(</t>
    </r>
    <r>
      <rPr>
        <b/>
        <sz val="12"/>
        <rFont val="Calibri"/>
        <family val="2"/>
      </rPr>
      <t xml:space="preserve">6 </t>
    </r>
    <r>
      <rPr>
        <sz val="12"/>
        <rFont val="Calibri"/>
        <family val="2"/>
      </rPr>
      <t>كلم بمسلك الإنطلاقة-  3,4 كلم بمسلك البلوم - 2,7 كلم بمسلك بئر الغراب -  2,1  كلم بمسلك العوايشية</t>
    </r>
  </si>
  <si>
    <t>تزويد منطقة العثامنية  (500ساكن)</t>
  </si>
  <si>
    <r>
      <t>في طور الانجاز 50</t>
    </r>
    <r>
      <rPr>
        <sz val="12"/>
        <rFont val="Calibri"/>
        <family val="2"/>
      </rPr>
      <t>%</t>
    </r>
  </si>
  <si>
    <t>احداث بئر استكشافية بواد العلندة العليا (400م)</t>
  </si>
  <si>
    <t>البرنامج الوطني الإستكشافي</t>
  </si>
  <si>
    <t>مقترح بميزانية 2018</t>
  </si>
  <si>
    <t>أشغال سد وادي الكبير</t>
  </si>
  <si>
    <t>الإدارة العامة للسدود</t>
  </si>
  <si>
    <t xml:space="preserve"> تقدم الإنجاز 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</si>
</sst>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2"/>
      <color theme="1"/>
      <name val="Arabic Transparent"/>
      <charset val="178"/>
    </font>
    <font>
      <sz val="12"/>
      <name val="Arial"/>
      <family val="2"/>
    </font>
    <font>
      <sz val="12"/>
      <color theme="1"/>
      <name val="Arabic Transparent"/>
      <charset val="178"/>
    </font>
    <font>
      <b/>
      <sz val="12"/>
      <color indexed="17"/>
      <name val="Calibri"/>
      <family val="2"/>
    </font>
    <font>
      <sz val="12"/>
      <name val="Calibri"/>
      <family val="2"/>
    </font>
    <font>
      <b/>
      <sz val="12"/>
      <color indexed="8"/>
      <name val="Times New Roman"/>
      <family val="1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theme="1"/>
      <name val="Arabic Transparent"/>
      <charset val="178"/>
    </font>
    <font>
      <sz val="12"/>
      <color theme="1"/>
      <name val="Calibri"/>
      <family val="2"/>
      <scheme val="minor"/>
    </font>
    <font>
      <sz val="11"/>
      <color theme="1"/>
      <name val="Arabic Transparent"/>
      <charset val="178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9"/>
      <name val="Times New Roman"/>
      <family val="1"/>
    </font>
    <font>
      <sz val="13"/>
      <name val="Arabic Transparent"/>
      <charset val="178"/>
    </font>
    <font>
      <sz val="13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3"/>
      <name val="Arial"/>
      <family val="2"/>
    </font>
    <font>
      <sz val="13"/>
      <name val="Calibri"/>
      <family val="2"/>
    </font>
    <font>
      <sz val="10.199999999999999"/>
      <name val="Arial"/>
      <family val="2"/>
    </font>
    <font>
      <sz val="10.199999999999999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3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 readingOrder="2"/>
    </xf>
    <xf numFmtId="3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 readingOrder="2"/>
    </xf>
    <xf numFmtId="3" fontId="9" fillId="0" borderId="1" xfId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 readingOrder="2"/>
    </xf>
    <xf numFmtId="0" fontId="11" fillId="0" borderId="1" xfId="0" applyFont="1" applyFill="1" applyBorder="1" applyAlignment="1">
      <alignment horizontal="right" vertical="center" wrapText="1"/>
    </xf>
    <xf numFmtId="9" fontId="6" fillId="0" borderId="1" xfId="0" applyNumberFormat="1" applyFont="1" applyFill="1" applyBorder="1" applyAlignment="1">
      <alignment horizontal="center" vertical="center" wrapText="1" readingOrder="2"/>
    </xf>
    <xf numFmtId="0" fontId="12" fillId="0" borderId="1" xfId="0" applyFont="1" applyFill="1" applyBorder="1" applyAlignment="1">
      <alignment horizontal="center" vertical="center" wrapText="1" readingOrder="2"/>
    </xf>
    <xf numFmtId="0" fontId="13" fillId="0" borderId="1" xfId="0" applyFont="1" applyFill="1" applyBorder="1" applyAlignment="1">
      <alignment horizontal="center" vertical="center" wrapText="1" readingOrder="2"/>
    </xf>
    <xf numFmtId="9" fontId="14" fillId="0" borderId="1" xfId="0" applyNumberFormat="1" applyFont="1" applyFill="1" applyBorder="1" applyAlignment="1">
      <alignment horizontal="center" vertical="center" wrapText="1" readingOrder="2"/>
    </xf>
    <xf numFmtId="0" fontId="15" fillId="0" borderId="1" xfId="0" applyFont="1" applyFill="1" applyBorder="1" applyAlignment="1">
      <alignment horizontal="center" vertical="center" wrapText="1" readingOrder="2"/>
    </xf>
    <xf numFmtId="0" fontId="16" fillId="0" borderId="1" xfId="0" applyFont="1" applyFill="1" applyBorder="1" applyAlignment="1">
      <alignment horizontal="center" vertical="center" wrapText="1" readingOrder="2"/>
    </xf>
    <xf numFmtId="0" fontId="17" fillId="0" borderId="1" xfId="0" applyFont="1" applyFill="1" applyBorder="1" applyAlignment="1">
      <alignment horizontal="center" vertical="center" wrapText="1" readingOrder="2"/>
    </xf>
    <xf numFmtId="0" fontId="18" fillId="0" borderId="1" xfId="0" applyFont="1" applyFill="1" applyBorder="1" applyAlignment="1">
      <alignment horizontal="center" vertical="center" wrapText="1" readingOrder="2"/>
    </xf>
    <xf numFmtId="1" fontId="18" fillId="0" borderId="1" xfId="0" applyNumberFormat="1" applyFont="1" applyFill="1" applyBorder="1" applyAlignment="1">
      <alignment horizontal="center" vertical="center" wrapText="1" readingOrder="2"/>
    </xf>
    <xf numFmtId="164" fontId="18" fillId="0" borderId="1" xfId="0" applyNumberFormat="1" applyFont="1" applyFill="1" applyBorder="1" applyAlignment="1">
      <alignment horizontal="center" vertical="center" wrapText="1" readingOrder="2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 readingOrder="2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Font="1" applyFill="1" applyBorder="1" applyAlignment="1">
      <alignment horizontal="center" vertical="center" wrapText="1" readingOrder="2"/>
    </xf>
    <xf numFmtId="9" fontId="25" fillId="0" borderId="1" xfId="0" applyNumberFormat="1" applyFont="1" applyFill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horizontal="center" vertical="center" wrapText="1" readingOrder="2"/>
    </xf>
    <xf numFmtId="9" fontId="5" fillId="0" borderId="1" xfId="0" applyNumberFormat="1" applyFont="1" applyFill="1" applyBorder="1" applyAlignment="1">
      <alignment horizontal="center" vertical="center" wrapText="1"/>
    </xf>
    <xf numFmtId="9" fontId="20" fillId="0" borderId="1" xfId="0" applyNumberFormat="1" applyFont="1" applyFill="1" applyBorder="1" applyAlignment="1">
      <alignment horizontal="center" vertical="center" wrapText="1" readingOrder="2"/>
    </xf>
    <xf numFmtId="0" fontId="0" fillId="0" borderId="0" xfId="0" applyAlignment="1">
      <alignment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52" workbookViewId="0">
      <selection activeCell="B63" sqref="B63"/>
    </sheetView>
  </sheetViews>
  <sheetFormatPr baseColWidth="10" defaultColWidth="16.5703125" defaultRowHeight="15" x14ac:dyDescent="0.25"/>
  <cols>
    <col min="1" max="16384" width="16.5703125" style="35"/>
  </cols>
  <sheetData>
    <row r="1" spans="1:6" ht="5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63.75" customHeight="1" x14ac:dyDescent="0.25">
      <c r="A2" s="9">
        <v>2011</v>
      </c>
      <c r="B2" s="5" t="s">
        <v>8</v>
      </c>
      <c r="C2" s="9" t="s">
        <v>9</v>
      </c>
      <c r="D2" s="10">
        <v>1</v>
      </c>
      <c r="E2" s="7">
        <v>757.03700000000003</v>
      </c>
      <c r="F2" s="8" t="s">
        <v>7</v>
      </c>
    </row>
    <row r="3" spans="1:6" ht="63.75" customHeight="1" x14ac:dyDescent="0.25">
      <c r="A3" s="12">
        <v>2011</v>
      </c>
      <c r="B3" s="5" t="s">
        <v>12</v>
      </c>
      <c r="C3" s="9" t="s">
        <v>9</v>
      </c>
      <c r="D3" s="10">
        <v>1</v>
      </c>
      <c r="E3" s="7">
        <v>599</v>
      </c>
      <c r="F3" s="8" t="s">
        <v>13</v>
      </c>
    </row>
    <row r="4" spans="1:6" ht="63.75" customHeight="1" x14ac:dyDescent="0.25">
      <c r="A4" s="13">
        <v>2011</v>
      </c>
      <c r="B4" s="14" t="s">
        <v>14</v>
      </c>
      <c r="C4" s="4" t="s">
        <v>9</v>
      </c>
      <c r="D4" s="6">
        <v>1</v>
      </c>
      <c r="E4" s="7">
        <v>121.575</v>
      </c>
      <c r="F4" s="15" t="s">
        <v>15</v>
      </c>
    </row>
    <row r="5" spans="1:6" ht="30" x14ac:dyDescent="0.25">
      <c r="A5" s="13">
        <v>2011</v>
      </c>
      <c r="B5" s="14" t="s">
        <v>16</v>
      </c>
      <c r="C5" s="4" t="s">
        <v>9</v>
      </c>
      <c r="D5" s="6">
        <v>1</v>
      </c>
      <c r="E5" s="7">
        <v>123.27500000000001</v>
      </c>
      <c r="F5" s="15" t="s">
        <v>13</v>
      </c>
    </row>
    <row r="6" spans="1:6" ht="51.75" x14ac:dyDescent="0.25">
      <c r="A6" s="4">
        <v>2011</v>
      </c>
      <c r="B6" s="14" t="s">
        <v>22</v>
      </c>
      <c r="C6" s="16" t="s">
        <v>9</v>
      </c>
      <c r="D6" s="6" t="s">
        <v>23</v>
      </c>
      <c r="E6" s="7">
        <v>1125</v>
      </c>
      <c r="F6" s="15" t="s">
        <v>13</v>
      </c>
    </row>
    <row r="7" spans="1:6" ht="45" x14ac:dyDescent="0.25">
      <c r="A7" s="11" t="s">
        <v>46</v>
      </c>
      <c r="B7" s="5" t="s">
        <v>47</v>
      </c>
      <c r="C7" s="21" t="s">
        <v>48</v>
      </c>
      <c r="D7" s="10">
        <v>1</v>
      </c>
      <c r="E7" s="22">
        <v>599</v>
      </c>
      <c r="F7" s="8" t="s">
        <v>13</v>
      </c>
    </row>
    <row r="8" spans="1:6" ht="34.5" x14ac:dyDescent="0.25">
      <c r="A8" s="4">
        <v>2011</v>
      </c>
      <c r="B8" s="14" t="s">
        <v>104</v>
      </c>
      <c r="C8" s="4" t="s">
        <v>105</v>
      </c>
      <c r="D8" s="4">
        <v>1</v>
      </c>
      <c r="E8" s="7">
        <v>32000</v>
      </c>
      <c r="F8" s="15" t="s">
        <v>106</v>
      </c>
    </row>
    <row r="9" spans="1:6" ht="60" x14ac:dyDescent="0.25">
      <c r="A9" s="4">
        <v>2011</v>
      </c>
      <c r="B9" s="14" t="s">
        <v>17</v>
      </c>
      <c r="C9" s="16" t="s">
        <v>18</v>
      </c>
      <c r="D9" s="17">
        <v>1</v>
      </c>
      <c r="E9" s="7">
        <v>101.27500000000001</v>
      </c>
      <c r="F9" s="15" t="s">
        <v>19</v>
      </c>
    </row>
    <row r="10" spans="1:6" ht="69" x14ac:dyDescent="0.25">
      <c r="A10" s="11" t="s">
        <v>49</v>
      </c>
      <c r="B10" s="5" t="s">
        <v>50</v>
      </c>
      <c r="C10" s="21" t="s">
        <v>48</v>
      </c>
      <c r="D10" s="10">
        <v>1</v>
      </c>
      <c r="E10" s="23">
        <v>443.73309999999998</v>
      </c>
      <c r="F10" s="8" t="s">
        <v>13</v>
      </c>
    </row>
    <row r="11" spans="1:6" ht="63.75" x14ac:dyDescent="0.25">
      <c r="A11" s="4">
        <v>2012</v>
      </c>
      <c r="B11" s="14" t="s">
        <v>20</v>
      </c>
      <c r="C11" s="16" t="s">
        <v>21</v>
      </c>
      <c r="D11" s="17">
        <v>1</v>
      </c>
      <c r="E11" s="7">
        <v>156.04</v>
      </c>
      <c r="F11" s="15" t="s">
        <v>13</v>
      </c>
    </row>
    <row r="12" spans="1:6" ht="51.75" x14ac:dyDescent="0.25">
      <c r="A12" s="4">
        <v>2012</v>
      </c>
      <c r="B12" s="14" t="s">
        <v>24</v>
      </c>
      <c r="C12" s="4" t="s">
        <v>9</v>
      </c>
      <c r="D12" s="6">
        <v>1</v>
      </c>
      <c r="E12" s="7">
        <v>162.9</v>
      </c>
      <c r="F12" s="15" t="s">
        <v>13</v>
      </c>
    </row>
    <row r="13" spans="1:6" ht="45" x14ac:dyDescent="0.25">
      <c r="A13" s="4">
        <v>2012</v>
      </c>
      <c r="B13" s="14" t="s">
        <v>25</v>
      </c>
      <c r="C13" s="4" t="s">
        <v>9</v>
      </c>
      <c r="D13" s="6">
        <v>1</v>
      </c>
      <c r="E13" s="7">
        <v>162.9</v>
      </c>
      <c r="F13" s="15" t="s">
        <v>13</v>
      </c>
    </row>
    <row r="14" spans="1:6" ht="45" x14ac:dyDescent="0.25">
      <c r="A14" s="4">
        <v>2012</v>
      </c>
      <c r="B14" s="14" t="s">
        <v>26</v>
      </c>
      <c r="C14" s="4" t="s">
        <v>9</v>
      </c>
      <c r="D14" s="6">
        <v>1</v>
      </c>
      <c r="E14" s="7">
        <v>175.72499999999999</v>
      </c>
      <c r="F14" s="15" t="s">
        <v>13</v>
      </c>
    </row>
    <row r="15" spans="1:6" ht="45" x14ac:dyDescent="0.25">
      <c r="A15" s="4">
        <v>2012</v>
      </c>
      <c r="B15" s="14" t="s">
        <v>27</v>
      </c>
      <c r="C15" s="4" t="s">
        <v>9</v>
      </c>
      <c r="D15" s="6">
        <v>1</v>
      </c>
      <c r="E15" s="7">
        <v>175.72499999999999</v>
      </c>
      <c r="F15" s="15" t="s">
        <v>13</v>
      </c>
    </row>
    <row r="16" spans="1:6" ht="51.75" x14ac:dyDescent="0.25">
      <c r="A16" s="4">
        <v>2012</v>
      </c>
      <c r="B16" s="14" t="s">
        <v>28</v>
      </c>
      <c r="C16" s="4" t="s">
        <v>9</v>
      </c>
      <c r="D16" s="6">
        <v>1</v>
      </c>
      <c r="E16" s="7">
        <v>310.99</v>
      </c>
      <c r="F16" s="15" t="s">
        <v>13</v>
      </c>
    </row>
    <row r="17" spans="1:6" ht="75" x14ac:dyDescent="0.25">
      <c r="A17" s="4">
        <v>2012</v>
      </c>
      <c r="B17" s="14" t="s">
        <v>29</v>
      </c>
      <c r="C17" s="4" t="s">
        <v>9</v>
      </c>
      <c r="D17" s="6">
        <v>1</v>
      </c>
      <c r="E17" s="7">
        <v>320</v>
      </c>
      <c r="F17" s="15" t="s">
        <v>30</v>
      </c>
    </row>
    <row r="18" spans="1:6" ht="51.75" x14ac:dyDescent="0.25">
      <c r="A18" s="4">
        <v>2012</v>
      </c>
      <c r="B18" s="14" t="s">
        <v>31</v>
      </c>
      <c r="C18" s="4" t="s">
        <v>9</v>
      </c>
      <c r="D18" s="6">
        <v>1</v>
      </c>
      <c r="E18" s="7">
        <v>439</v>
      </c>
      <c r="F18" s="15" t="s">
        <v>13</v>
      </c>
    </row>
    <row r="19" spans="1:6" ht="60" x14ac:dyDescent="0.25">
      <c r="A19" s="4">
        <v>2012</v>
      </c>
      <c r="B19" s="14" t="s">
        <v>32</v>
      </c>
      <c r="C19" s="4" t="s">
        <v>9</v>
      </c>
      <c r="D19" s="4">
        <v>1</v>
      </c>
      <c r="E19" s="7">
        <v>193.03</v>
      </c>
      <c r="F19" s="15" t="s">
        <v>33</v>
      </c>
    </row>
    <row r="20" spans="1:6" ht="45" x14ac:dyDescent="0.25">
      <c r="A20" s="4">
        <v>2012</v>
      </c>
      <c r="B20" s="14" t="s">
        <v>34</v>
      </c>
      <c r="C20" s="4" t="s">
        <v>9</v>
      </c>
      <c r="D20" s="4">
        <v>1</v>
      </c>
      <c r="E20" s="7">
        <v>1331.63</v>
      </c>
      <c r="F20" s="15" t="s">
        <v>13</v>
      </c>
    </row>
    <row r="21" spans="1:6" ht="45" x14ac:dyDescent="0.25">
      <c r="A21" s="4">
        <v>2012</v>
      </c>
      <c r="B21" s="14" t="s">
        <v>35</v>
      </c>
      <c r="C21" s="4" t="s">
        <v>9</v>
      </c>
      <c r="D21" s="4">
        <v>1</v>
      </c>
      <c r="E21" s="7">
        <v>1342.8768</v>
      </c>
      <c r="F21" s="15" t="s">
        <v>13</v>
      </c>
    </row>
    <row r="22" spans="1:6" ht="45" x14ac:dyDescent="0.25">
      <c r="A22" s="11" t="s">
        <v>10</v>
      </c>
      <c r="B22" s="5" t="s">
        <v>11</v>
      </c>
      <c r="C22" s="12" t="s">
        <v>6</v>
      </c>
      <c r="D22" s="10">
        <v>1</v>
      </c>
      <c r="E22" s="7">
        <v>1313.1866000000002</v>
      </c>
      <c r="F22" s="8" t="s">
        <v>7</v>
      </c>
    </row>
    <row r="23" spans="1:6" ht="120" x14ac:dyDescent="0.25">
      <c r="A23" s="11" t="s">
        <v>10</v>
      </c>
      <c r="B23" s="5" t="s">
        <v>51</v>
      </c>
      <c r="C23" s="21" t="s">
        <v>48</v>
      </c>
      <c r="D23" s="10">
        <v>1</v>
      </c>
      <c r="E23" s="22">
        <v>180</v>
      </c>
      <c r="F23" s="8" t="s">
        <v>13</v>
      </c>
    </row>
    <row r="24" spans="1:6" ht="71.25" x14ac:dyDescent="0.25">
      <c r="A24" s="4">
        <v>2013</v>
      </c>
      <c r="B24" s="14" t="s">
        <v>36</v>
      </c>
      <c r="C24" s="4" t="s">
        <v>9</v>
      </c>
      <c r="D24" s="4">
        <v>1</v>
      </c>
      <c r="E24" s="7">
        <v>138</v>
      </c>
      <c r="F24" s="18" t="s">
        <v>37</v>
      </c>
    </row>
    <row r="25" spans="1:6" ht="60" x14ac:dyDescent="0.25">
      <c r="A25" s="4">
        <v>2014</v>
      </c>
      <c r="B25" s="14" t="s">
        <v>38</v>
      </c>
      <c r="C25" s="4" t="s">
        <v>9</v>
      </c>
      <c r="D25" s="4">
        <v>1</v>
      </c>
      <c r="E25" s="7">
        <v>229</v>
      </c>
      <c r="F25" s="15" t="s">
        <v>39</v>
      </c>
    </row>
    <row r="26" spans="1:6" ht="60" x14ac:dyDescent="0.25">
      <c r="A26" s="4">
        <v>2014</v>
      </c>
      <c r="B26" s="14" t="s">
        <v>40</v>
      </c>
      <c r="C26" s="4" t="s">
        <v>9</v>
      </c>
      <c r="D26" s="4">
        <v>1</v>
      </c>
      <c r="E26" s="7">
        <v>450</v>
      </c>
      <c r="F26" s="15" t="s">
        <v>41</v>
      </c>
    </row>
    <row r="27" spans="1:6" ht="75" x14ac:dyDescent="0.25">
      <c r="A27" s="19">
        <v>2014</v>
      </c>
      <c r="B27" s="14" t="s">
        <v>42</v>
      </c>
      <c r="C27" s="16" t="s">
        <v>21</v>
      </c>
      <c r="D27" s="4">
        <v>1</v>
      </c>
      <c r="E27" s="7">
        <v>173.97</v>
      </c>
      <c r="F27" s="20" t="s">
        <v>43</v>
      </c>
    </row>
    <row r="28" spans="1:6" ht="63.75" x14ac:dyDescent="0.25">
      <c r="A28" s="19">
        <v>2014</v>
      </c>
      <c r="B28" s="14" t="s">
        <v>44</v>
      </c>
      <c r="C28" s="16" t="s">
        <v>21</v>
      </c>
      <c r="D28" s="4">
        <v>1</v>
      </c>
      <c r="E28" s="7">
        <v>307.7</v>
      </c>
      <c r="F28" s="15" t="s">
        <v>45</v>
      </c>
    </row>
    <row r="29" spans="1:6" ht="60" x14ac:dyDescent="0.25">
      <c r="A29" s="10">
        <v>2014</v>
      </c>
      <c r="B29" s="5" t="s">
        <v>52</v>
      </c>
      <c r="C29" s="5" t="s">
        <v>53</v>
      </c>
      <c r="D29" s="10">
        <v>1</v>
      </c>
      <c r="E29" s="24">
        <v>181.3</v>
      </c>
      <c r="F29" s="8" t="s">
        <v>33</v>
      </c>
    </row>
    <row r="30" spans="1:6" ht="75" x14ac:dyDescent="0.25">
      <c r="A30" s="10">
        <v>2014</v>
      </c>
      <c r="B30" s="5" t="s">
        <v>54</v>
      </c>
      <c r="C30" s="5" t="s">
        <v>53</v>
      </c>
      <c r="D30" s="10">
        <v>1</v>
      </c>
      <c r="E30" s="24">
        <v>207.8</v>
      </c>
      <c r="F30" s="8" t="s">
        <v>55</v>
      </c>
    </row>
    <row r="31" spans="1:6" ht="120.75" x14ac:dyDescent="0.25">
      <c r="A31" s="10">
        <v>2014</v>
      </c>
      <c r="B31" s="5" t="s">
        <v>56</v>
      </c>
      <c r="C31" s="5" t="s">
        <v>53</v>
      </c>
      <c r="D31" s="10">
        <v>1</v>
      </c>
      <c r="E31" s="22">
        <v>586.5</v>
      </c>
      <c r="F31" s="25" t="s">
        <v>57</v>
      </c>
    </row>
    <row r="32" spans="1:6" ht="51.75" x14ac:dyDescent="0.25">
      <c r="A32" s="10">
        <v>2014</v>
      </c>
      <c r="B32" s="5" t="s">
        <v>58</v>
      </c>
      <c r="C32" s="5" t="s">
        <v>53</v>
      </c>
      <c r="D32" s="10">
        <v>1</v>
      </c>
      <c r="E32" s="22">
        <v>586.5</v>
      </c>
      <c r="F32" s="25" t="s">
        <v>59</v>
      </c>
    </row>
    <row r="33" spans="1:6" ht="78.75" x14ac:dyDescent="0.25">
      <c r="A33" s="10">
        <v>2015</v>
      </c>
      <c r="B33" s="5" t="s">
        <v>60</v>
      </c>
      <c r="C33" s="16" t="s">
        <v>21</v>
      </c>
      <c r="D33" s="10">
        <v>1</v>
      </c>
      <c r="E33" s="22">
        <v>225</v>
      </c>
      <c r="F33" s="26" t="s">
        <v>61</v>
      </c>
    </row>
    <row r="34" spans="1:6" ht="94.5" x14ac:dyDescent="0.25">
      <c r="A34" s="10">
        <v>2015</v>
      </c>
      <c r="B34" s="5" t="s">
        <v>62</v>
      </c>
      <c r="C34" s="16" t="s">
        <v>21</v>
      </c>
      <c r="D34" s="10">
        <v>1</v>
      </c>
      <c r="E34" s="22">
        <v>225</v>
      </c>
      <c r="F34" s="26" t="s">
        <v>63</v>
      </c>
    </row>
    <row r="35" spans="1:6" ht="110.25" x14ac:dyDescent="0.25">
      <c r="A35" s="10">
        <v>2015</v>
      </c>
      <c r="B35" s="5" t="s">
        <v>64</v>
      </c>
      <c r="C35" s="16" t="s">
        <v>9</v>
      </c>
      <c r="D35" s="10">
        <v>1</v>
      </c>
      <c r="E35" s="22">
        <v>140</v>
      </c>
      <c r="F35" s="26" t="s">
        <v>65</v>
      </c>
    </row>
    <row r="36" spans="1:6" ht="180.75" customHeight="1" x14ac:dyDescent="0.25">
      <c r="A36" s="13">
        <v>2015</v>
      </c>
      <c r="B36" s="27" t="s">
        <v>66</v>
      </c>
      <c r="C36" s="28" t="s">
        <v>67</v>
      </c>
      <c r="D36" s="13" t="s">
        <v>68</v>
      </c>
      <c r="E36" s="29">
        <f>140.7*17</f>
        <v>2391.8999999999996</v>
      </c>
      <c r="F36" s="30" t="s">
        <v>69</v>
      </c>
    </row>
    <row r="37" spans="1:6" ht="78.75" x14ac:dyDescent="0.25">
      <c r="A37" s="10">
        <v>2016</v>
      </c>
      <c r="B37" s="5" t="s">
        <v>70</v>
      </c>
      <c r="C37" s="16" t="s">
        <v>21</v>
      </c>
      <c r="D37" s="10">
        <v>1</v>
      </c>
      <c r="E37" s="22">
        <v>230</v>
      </c>
      <c r="F37" s="26" t="s">
        <v>71</v>
      </c>
    </row>
    <row r="38" spans="1:6" ht="141.75" x14ac:dyDescent="0.25">
      <c r="A38" s="13">
        <v>2016</v>
      </c>
      <c r="B38" s="27" t="s">
        <v>72</v>
      </c>
      <c r="C38" s="28" t="s">
        <v>9</v>
      </c>
      <c r="D38" s="13" t="s">
        <v>73</v>
      </c>
      <c r="E38" s="29">
        <v>416.31580000000002</v>
      </c>
      <c r="F38" s="26" t="s">
        <v>74</v>
      </c>
    </row>
    <row r="39" spans="1:6" ht="86.25" x14ac:dyDescent="0.25">
      <c r="A39" s="13">
        <v>2016</v>
      </c>
      <c r="B39" s="27" t="s">
        <v>75</v>
      </c>
      <c r="C39" s="28" t="s">
        <v>9</v>
      </c>
      <c r="D39" s="13">
        <v>1</v>
      </c>
      <c r="E39" s="29">
        <v>600</v>
      </c>
      <c r="F39" s="31" t="s">
        <v>76</v>
      </c>
    </row>
    <row r="40" spans="1:6" ht="45" x14ac:dyDescent="0.25">
      <c r="A40" s="13">
        <v>2016</v>
      </c>
      <c r="B40" s="27" t="s">
        <v>77</v>
      </c>
      <c r="C40" s="28" t="s">
        <v>9</v>
      </c>
      <c r="D40" s="13">
        <v>1</v>
      </c>
      <c r="E40" s="29">
        <v>1000</v>
      </c>
      <c r="F40" s="32" t="s">
        <v>78</v>
      </c>
    </row>
    <row r="41" spans="1:6" ht="51.75" x14ac:dyDescent="0.25">
      <c r="A41" s="13">
        <v>2016</v>
      </c>
      <c r="B41" s="27" t="s">
        <v>79</v>
      </c>
      <c r="C41" s="28" t="s">
        <v>9</v>
      </c>
      <c r="D41" s="13">
        <v>1</v>
      </c>
      <c r="E41" s="29">
        <v>1000</v>
      </c>
      <c r="F41" s="32" t="s">
        <v>78</v>
      </c>
    </row>
    <row r="42" spans="1:6" ht="180" x14ac:dyDescent="0.25">
      <c r="A42" s="13">
        <v>2016</v>
      </c>
      <c r="B42" s="27" t="s">
        <v>80</v>
      </c>
      <c r="C42" s="28" t="s">
        <v>9</v>
      </c>
      <c r="D42" s="13">
        <v>1</v>
      </c>
      <c r="E42" s="29">
        <v>192</v>
      </c>
      <c r="F42" s="32" t="s">
        <v>81</v>
      </c>
    </row>
    <row r="43" spans="1:6" ht="105" x14ac:dyDescent="0.25">
      <c r="A43" s="10">
        <v>2017</v>
      </c>
      <c r="B43" s="5" t="s">
        <v>82</v>
      </c>
      <c r="C43" s="5" t="s">
        <v>83</v>
      </c>
      <c r="D43" s="10">
        <v>1</v>
      </c>
      <c r="E43" s="24">
        <v>380</v>
      </c>
      <c r="F43" s="33">
        <v>1</v>
      </c>
    </row>
    <row r="44" spans="1:6" ht="105" x14ac:dyDescent="0.25">
      <c r="A44" s="10">
        <v>2017</v>
      </c>
      <c r="B44" s="5" t="s">
        <v>84</v>
      </c>
      <c r="C44" s="5" t="s">
        <v>83</v>
      </c>
      <c r="D44" s="10">
        <v>1</v>
      </c>
      <c r="E44" s="24">
        <v>380</v>
      </c>
      <c r="F44" s="33" t="s">
        <v>85</v>
      </c>
    </row>
    <row r="45" spans="1:6" ht="105" x14ac:dyDescent="0.25">
      <c r="A45" s="10">
        <v>2017</v>
      </c>
      <c r="B45" s="5" t="s">
        <v>86</v>
      </c>
      <c r="C45" s="5" t="s">
        <v>83</v>
      </c>
      <c r="D45" s="10">
        <v>1</v>
      </c>
      <c r="E45" s="24">
        <v>180</v>
      </c>
      <c r="F45" s="8" t="s">
        <v>87</v>
      </c>
    </row>
    <row r="46" spans="1:6" ht="105" x14ac:dyDescent="0.25">
      <c r="A46" s="10">
        <v>2017</v>
      </c>
      <c r="B46" s="5" t="s">
        <v>88</v>
      </c>
      <c r="C46" s="5" t="s">
        <v>83</v>
      </c>
      <c r="D46" s="10">
        <v>1</v>
      </c>
      <c r="E46" s="24">
        <v>180</v>
      </c>
      <c r="F46" s="34" t="s">
        <v>89</v>
      </c>
    </row>
    <row r="47" spans="1:6" ht="105" x14ac:dyDescent="0.25">
      <c r="A47" s="10">
        <v>2017</v>
      </c>
      <c r="B47" s="5" t="s">
        <v>90</v>
      </c>
      <c r="C47" s="5" t="s">
        <v>83</v>
      </c>
      <c r="D47" s="10">
        <v>1</v>
      </c>
      <c r="E47" s="24">
        <v>180</v>
      </c>
      <c r="F47" s="8" t="s">
        <v>91</v>
      </c>
    </row>
    <row r="48" spans="1:6" ht="105" x14ac:dyDescent="0.25">
      <c r="A48" s="10">
        <v>2017</v>
      </c>
      <c r="B48" s="5" t="s">
        <v>92</v>
      </c>
      <c r="C48" s="16" t="s">
        <v>21</v>
      </c>
      <c r="D48" s="10">
        <v>1</v>
      </c>
      <c r="E48" s="24">
        <v>1780</v>
      </c>
      <c r="F48" s="8" t="s">
        <v>93</v>
      </c>
    </row>
    <row r="49" spans="1:6" ht="63.75" x14ac:dyDescent="0.25">
      <c r="A49" s="10">
        <v>2017</v>
      </c>
      <c r="B49" s="5" t="s">
        <v>94</v>
      </c>
      <c r="C49" s="16" t="s">
        <v>21</v>
      </c>
      <c r="D49" s="10">
        <v>1</v>
      </c>
      <c r="E49" s="24">
        <v>780</v>
      </c>
      <c r="F49" s="33">
        <v>1</v>
      </c>
    </row>
    <row r="50" spans="1:6" ht="45" x14ac:dyDescent="0.25">
      <c r="A50" s="10">
        <v>2017</v>
      </c>
      <c r="B50" s="5" t="s">
        <v>95</v>
      </c>
      <c r="C50" s="16" t="s">
        <v>9</v>
      </c>
      <c r="D50" s="10">
        <v>1</v>
      </c>
      <c r="E50" s="24">
        <v>1040</v>
      </c>
      <c r="F50" s="33" t="s">
        <v>96</v>
      </c>
    </row>
    <row r="51" spans="1:6" ht="283.5" x14ac:dyDescent="0.25">
      <c r="A51" s="13">
        <v>2017</v>
      </c>
      <c r="B51" s="27" t="s">
        <v>66</v>
      </c>
      <c r="C51" s="28" t="s">
        <v>67</v>
      </c>
      <c r="D51" s="13" t="s">
        <v>97</v>
      </c>
      <c r="E51" s="29">
        <v>1940</v>
      </c>
      <c r="F51" s="32" t="s">
        <v>98</v>
      </c>
    </row>
    <row r="52" spans="1:6" ht="45.75" x14ac:dyDescent="0.25">
      <c r="A52" s="10">
        <v>2018</v>
      </c>
      <c r="B52" s="5" t="s">
        <v>99</v>
      </c>
      <c r="C52" s="16" t="s">
        <v>9</v>
      </c>
      <c r="D52" s="10">
        <v>1</v>
      </c>
      <c r="E52" s="24">
        <v>800</v>
      </c>
      <c r="F52" s="8" t="s">
        <v>100</v>
      </c>
    </row>
    <row r="53" spans="1:6" ht="45" x14ac:dyDescent="0.25">
      <c r="A53" s="10">
        <v>2018</v>
      </c>
      <c r="B53" s="5" t="s">
        <v>101</v>
      </c>
      <c r="C53" s="16" t="s">
        <v>102</v>
      </c>
      <c r="D53" s="10">
        <v>1</v>
      </c>
      <c r="E53" s="24">
        <v>500</v>
      </c>
      <c r="F53" s="8" t="s">
        <v>103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2023-05-19T10:25:42Z</dcterms:modified>
</cp:coreProperties>
</file>