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URA\Desktop\CRDA Bizerte\"/>
    </mc:Choice>
  </mc:AlternateContent>
  <xr:revisionPtr revIDLastSave="0" documentId="13_ncr:1_{7AC6A83B-E82C-4E2F-8F56-0441C41B1F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وارد المائية الموائد السطحية" sheetId="1" r:id="rId1"/>
  </sheets>
  <externalReferences>
    <externalReference r:id="rId2"/>
    <externalReference r:id="rId3"/>
    <externalReference r:id="rId4"/>
    <externalReference r:id="rId5"/>
  </externalReferences>
  <definedNames>
    <definedName name="_tab13">'[1]خصائص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'[2]03'!$A$5:$IV$5,'[2]03'!$A$10:$IV$11,'[2]03'!$A$21:$IV$21,'[2]03'!$A$24:$IV$24,'[2]03'!$A$29:$IV$29,'[2]03'!$A$32:$IV$32,'[2]03'!$A$40:$IV$40,'[2]03'!$A$45:$IV$45,'[2]03'!$A$47:$IV$48,'[2]03'!$A$65:$IV$65,'[2]03'!$A$67:$IV$67,'[2]03'!$A$73:$IV$73,'[2]03'!$A$76:$IV$76,'[2]03'!$A$81:$IV$81,'[2]03'!$A$92:$IV$92,'[2]03'!$A$96:$IV$96,'[2]03'!$A$86:$IV$86</definedName>
    <definedName name="LignesSommaireN2">'[2]03'!$A$97:$IV$100,'[2]03'!$A$93:$IV$95,'[2]03'!$A$87:$IV$91,'[2]03'!$A$82:$IV$85,'[2]03'!$A$77:$IV$80,'[2]03'!$A$74:$IV$75,'[2]03'!$A$68:$IV$72,'[2]03'!$A$66:$IV$66,'[2]03'!$A$49:$IV$64,'[2]03'!$A$46:$IV$46,'[2]03'!$A$41:$IV$44,'[2]03'!$A$33:$IV$39,'[2]03'!$A$30:$IV$31,'[2]03'!$A$25:$IV$28,'[2]03'!$A$22:$IV$23,'[2]03'!$A$12:$IV$20,'[2]03'!$A$6:$IV$9,'[2]03'!$A$3:$IV$4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'[3]03'!$D$9,'[3]03'!$D$18,'[3]03'!$D$20,'[3]03'!$D$22,'[3]03'!$D$29,'[3]03'!$D$34,'[3]03'!$D$43,'[3]03'!$D$45,'[3]03'!$D$49,'[3]03'!$D$52,'[3]03'!$D$57,'[3]03'!$D$62,'[3]03'!$D$68,'[3]03'!$D$72,'[3]03'!$D$37</definedName>
    <definedName name="SommaireAR">'[2]03'!$C$97:$C$100,'[2]03'!$C$93:$C$95,'[2]03'!$C$87:$C$91,'[2]03'!$C$82:$C$85,'[2]03'!$C$77:$C$80,'[2]03'!$C$74:$C$75,'[2]03'!$C$68:$C$72,'[2]03'!$C$66,'[2]03'!$C$49:$C$64,'[2]03'!$C$46,'[2]03'!$C$41:$C$44,'[2]03'!$C$33:$C$39,'[2]03'!$C$30:$C$31,'[2]03'!$C$25:$C$28,'[2]03'!$C$22:$C$23,'[2]03'!$C$12:$C$20,'[2]03'!$C$6:$C$9,'[2]03'!$C$3:$C$4</definedName>
    <definedName name="SommaireARN1">'[3]03'!$B$4,'[3]03'!$B$8,'[3]03'!$B$36</definedName>
    <definedName name="SommaireARN2">'[3]03'!$B$72,'[3]03'!$B$68,'[3]03'!$B$62,'[3]03'!$B$57,'[3]03'!$B$52,'[3]03'!$B$49,'[3]03'!$B$45,'[3]03'!$B$43,'[3]03'!$B$37,'[3]03'!$B$34,'[3]03'!$B$29,'[3]03'!$B$22,'[3]03'!$B$20,'[3]03'!$B$18,'[3]03'!$B$9</definedName>
    <definedName name="SommaireFR">'[2]03'!$E$3:$E$4,'[2]03'!$E$6:$E$9,'[2]03'!$E$12:$E$20,'[2]03'!$E$22:$E$23,'[2]03'!$E$25:$E$28,'[2]03'!$E$30:$E$31,'[2]03'!$E$33:$E$39,'[2]03'!$E$41:$E$44,'[2]03'!$E$46,'[2]03'!$E$49:$E$64,'[2]03'!$E$66,'[2]03'!$E$68:$E$72,'[2]03'!$E$74:$E$75,'[2]03'!$E$77:$E$80,'[2]03'!$E$82:$E$85,'[2]03'!$E$87:$E$91,'[2]03'!$E$93:$E$95,'[2]03'!$E$97:$E$100</definedName>
    <definedName name="SommaireFRN1">'[3]03'!$D$4,'[3]03'!$D$8,'[3]03'!$D$36</definedName>
    <definedName name="SommaireFRN2">'[3]03'!$D$9,'[3]03'!$D$18,'[3]03'!$D$20,'[3]03'!$D$22,'[3]03'!$D$29,'[3]03'!$D$34,'[3]03'!$D$43,'[3]03'!$D$45,'[3]03'!$D$49,'[3]03'!$D$52,'[3]03'!$D$57,'[3]03'!$D$62,'[3]03'!$D$68,'[3]03'!$D$72</definedName>
    <definedName name="SommaireFRN3">'[3]03'!$D$5:$D$7,'[3]03'!$D$10:$D$18,'[3]03'!$D$19,'[3]03'!$D$21,'[3]03'!$D$23:$D$28,'[3]03'!$D$30:$D$33,'[3]03'!$D$35,'[3]03'!$D$38:$D$42,'[3]03'!$D$44,'[3]03'!$D$46:$D$48,'[3]03'!$D$50:$D$51,'[3]03'!$D$53:$D$56,'[3]03'!$D$58:$D$61,'[3]03'!$D$63:$D$67,'[3]03'!$D$69:$D$71,'[3]03'!$D$73:$D$75,'[3]03'!$D$2:$D$3</definedName>
    <definedName name="SommaireN3AR">'[3]03'!$B$73:$B$75,'[3]03'!$B$69:$B$71,'[3]03'!$B$63:$B$67,'[3]03'!$B$58:$B$61,'[3]03'!$B$53:$B$56,'[3]03'!$B$50:$B$51,'[3]03'!$B$50,'[3]03'!$B$46:$B$48,'[3]03'!$B$44,'[3]03'!$B$38:$B$42,'[3]03'!$B$35,'[3]03'!$B$30:$B$33,'[3]03'!$B$23:$B$28,'[3]03'!$B$21,'[3]03'!$B$19,'[3]03'!$B$10:$B$17,'[3]03'!$B$5:$B$7,'[3]03'!$B$2:$B$3</definedName>
    <definedName name="SommaireN3FR">'[3]03'!$D$5:$D$7,'[3]03'!$D$10:$D$18,'[3]03'!$D$19,'[3]03'!$D$21,'[3]03'!$D$23:$D$28,'[3]03'!$D$30:$D$33,'[3]03'!$D$35,'[3]03'!$D$38:$D$42,'[3]03'!$D$44,'[3]03'!$D$46:$D$48,'[3]03'!$D$50:$D$51,'[3]03'!$D$53:$D$56,'[3]03'!$D$58:$D$61,'[3]03'!$D$63:$D$67,'[3]03'!$D$69:$D$71,'[3]03'!$D$73:$D$75</definedName>
    <definedName name="z">#REF!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'[4]خصائص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'[4]خصائص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'[4]خصائص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'[4]خصائص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'[4]خصائص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'[4]خصائص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I15" i="1"/>
  <c r="G15" i="1"/>
  <c r="E15" i="1"/>
  <c r="D15" i="1"/>
  <c r="K14" i="1"/>
  <c r="F14" i="1"/>
  <c r="H14" i="1" s="1"/>
  <c r="K13" i="1"/>
  <c r="F13" i="1"/>
  <c r="H13" i="1" s="1"/>
  <c r="K12" i="1"/>
  <c r="F12" i="1"/>
  <c r="H12" i="1" s="1"/>
  <c r="K11" i="1"/>
  <c r="F11" i="1"/>
  <c r="H11" i="1" s="1"/>
  <c r="K10" i="1"/>
  <c r="F10" i="1"/>
  <c r="H10" i="1" s="1"/>
  <c r="K9" i="1"/>
  <c r="F9" i="1"/>
  <c r="H9" i="1" s="1"/>
  <c r="K8" i="1"/>
  <c r="F8" i="1"/>
  <c r="H8" i="1" s="1"/>
  <c r="K7" i="1"/>
  <c r="F7" i="1"/>
  <c r="H7" i="1" s="1"/>
  <c r="K6" i="1"/>
  <c r="F6" i="1"/>
  <c r="H6" i="1" s="1"/>
  <c r="K5" i="1"/>
  <c r="F5" i="1"/>
  <c r="H5" i="1" s="1"/>
  <c r="K4" i="1"/>
  <c r="F4" i="1"/>
  <c r="H4" i="1" s="1"/>
  <c r="K3" i="1"/>
  <c r="F3" i="1"/>
  <c r="H3" i="1" s="1"/>
  <c r="K2" i="1"/>
  <c r="F2" i="1"/>
  <c r="F15" i="1" l="1"/>
  <c r="K15" i="1"/>
  <c r="H2" i="1"/>
  <c r="H15" i="1" s="1"/>
  <c r="J57" i="1" l="1"/>
  <c r="I57" i="1"/>
  <c r="H57" i="1"/>
  <c r="G57" i="1"/>
  <c r="F57" i="1"/>
  <c r="E57" i="1"/>
  <c r="D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57" i="1" l="1"/>
</calcChain>
</file>

<file path=xl/sharedStrings.xml><?xml version="1.0" encoding="utf-8"?>
<sst xmlns="http://schemas.openxmlformats.org/spreadsheetml/2006/main" count="188" uniqueCount="67">
  <si>
    <t>كاف عباد12110</t>
  </si>
  <si>
    <t>سجنان</t>
  </si>
  <si>
    <t>1 – 3</t>
  </si>
  <si>
    <t>بنزرت الشمالية12210</t>
  </si>
  <si>
    <t>بنزرت الشمالية</t>
  </si>
  <si>
    <t>1 – 4</t>
  </si>
  <si>
    <t>رأس الجبل12310</t>
  </si>
  <si>
    <t>رأس الجبل</t>
  </si>
  <si>
    <t>2 – 5</t>
  </si>
  <si>
    <t xml:space="preserve">عوسجة غر الملح 12320 </t>
  </si>
  <si>
    <t>غار الملح أوتيك</t>
  </si>
  <si>
    <t>1.5 – 6</t>
  </si>
  <si>
    <t>وادي القرع 13110</t>
  </si>
  <si>
    <t>بنزرت الجنوبية</t>
  </si>
  <si>
    <t>قنيش 13120</t>
  </si>
  <si>
    <t>العالية-منزل جميل</t>
  </si>
  <si>
    <t>1.5 – 7</t>
  </si>
  <si>
    <t>منزل بورقيبة 13130</t>
  </si>
  <si>
    <t>منزل بورقيبة</t>
  </si>
  <si>
    <t>1.5 – 2</t>
  </si>
  <si>
    <t>وادي بن حسين 13140</t>
  </si>
  <si>
    <t>1 – 2</t>
  </si>
  <si>
    <t>وادي سجنان 13210</t>
  </si>
  <si>
    <t>1 – 1.5</t>
  </si>
  <si>
    <t>ماطر رأس العين 13510</t>
  </si>
  <si>
    <t>ماطر</t>
  </si>
  <si>
    <t>1.5– 4</t>
  </si>
  <si>
    <t>جومين الأعلى 13520</t>
  </si>
  <si>
    <t>جومين</t>
  </si>
  <si>
    <t>0.5 – 1.5</t>
  </si>
  <si>
    <t xml:space="preserve">وادي الطين 13620 </t>
  </si>
  <si>
    <t>مجردة السفلى26020</t>
  </si>
  <si>
    <t>أوتيك</t>
  </si>
  <si>
    <t>2.5 – 4</t>
  </si>
  <si>
    <t>مجموع الولاية</t>
  </si>
  <si>
    <t>0.5- 7</t>
  </si>
  <si>
    <t>Nom de la nappe</t>
  </si>
  <si>
    <t>Délégation</t>
  </si>
  <si>
    <t>Puits équipés avec electricité</t>
  </si>
  <si>
    <t>Puits équipés avec Mazout</t>
  </si>
  <si>
    <t>Nombre total équipés</t>
  </si>
  <si>
    <t>Nombre de puits non équipés</t>
  </si>
  <si>
    <t>Nombre total des puits</t>
  </si>
  <si>
    <t xml:space="preserve">  Ressources (million m3)</t>
  </si>
  <si>
    <t>Exploitation (million m3)</t>
  </si>
  <si>
    <t>Taux d'exploitation (%)</t>
  </si>
  <si>
    <t>Salinité (g/l)</t>
  </si>
  <si>
    <t>Total gouvernorat</t>
  </si>
  <si>
    <t>Année</t>
  </si>
  <si>
    <t>7-0,5</t>
  </si>
  <si>
    <t>0.62</t>
  </si>
  <si>
    <t>60.24</t>
  </si>
  <si>
    <t>9.9</t>
  </si>
  <si>
    <t>117.3</t>
  </si>
  <si>
    <t>173.3</t>
  </si>
  <si>
    <t>1.7</t>
  </si>
  <si>
    <t>0.48</t>
  </si>
  <si>
    <t>1.6</t>
  </si>
  <si>
    <t>55.2</t>
  </si>
  <si>
    <t>0.9</t>
  </si>
  <si>
    <t>1.5</t>
  </si>
  <si>
    <r>
      <t>كاف عباد</t>
    </r>
    <r>
      <rPr>
        <b/>
        <sz val="11"/>
        <color theme="1"/>
        <rFont val="Times New Roman"/>
        <family val="1"/>
      </rPr>
      <t>12110</t>
    </r>
  </si>
  <si>
    <r>
      <t>بنزرت الشمالية</t>
    </r>
    <r>
      <rPr>
        <b/>
        <sz val="11"/>
        <color theme="1"/>
        <rFont val="Times New Roman"/>
        <family val="1"/>
      </rPr>
      <t>12210</t>
    </r>
  </si>
  <si>
    <r>
      <t>رأس الجبل</t>
    </r>
    <r>
      <rPr>
        <b/>
        <sz val="11"/>
        <color theme="1"/>
        <rFont val="Times New Roman"/>
        <family val="1"/>
      </rPr>
      <t>12310</t>
    </r>
  </si>
  <si>
    <r>
      <t>عوسجة غر الملح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12320</t>
    </r>
    <r>
      <rPr>
        <sz val="11"/>
        <color theme="1"/>
        <rFont val="Times New Roman"/>
        <family val="1"/>
      </rPr>
      <t xml:space="preserve"> </t>
    </r>
  </si>
  <si>
    <r>
      <t>وادي القرع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13110</t>
    </r>
  </si>
  <si>
    <r>
      <t>قنيش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13120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</si>
</sst>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0.0"/>
    <numFmt numFmtId="166" formatCode="0.000"/>
    <numFmt numFmtId="167" formatCode="_-* #,##0.00\ _F_-;\-* #,##0.00\ _F_-;_-* &quot;-&quot;??\ _F_-;_-@_-"/>
    <numFmt numFmtId="170" formatCode="_-* #,##0.00\ &quot;€&quot;_-;\-* #,##0.00\ &quot;€&quot;_-;_-* &quot;-&quot;??\ &quot;€&quot;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1"/>
      <color indexed="9"/>
      <name val="Myriad Pro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6"/>
        <bgColor indexed="1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74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2" borderId="0">
      <alignment horizontal="center" vertical="center" wrapText="1"/>
    </xf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18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justify"/>
    </xf>
    <xf numFmtId="0" fontId="7" fillId="0" borderId="1" xfId="0" applyFont="1" applyBorder="1" applyAlignment="1">
      <alignment horizontal="left"/>
    </xf>
    <xf numFmtId="1" fontId="9" fillId="0" borderId="1" xfId="0" applyNumberFormat="1" applyFont="1" applyBorder="1" applyAlignment="1">
      <alignment horizontal="right" vertical="center" inden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2"/>
    </xf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justify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0" xfId="0"/>
  </cellXfs>
  <cellStyles count="1374">
    <cellStyle name="Euro" xfId="1" xr:uid="{00000000-0005-0000-0000-000000000000}"/>
    <cellStyle name="Euro 2" xfId="2" xr:uid="{00000000-0005-0000-0000-000001000000}"/>
    <cellStyle name="Euro 2 2" xfId="1368" xr:uid="{41B664A1-3B25-4F94-AED7-CAD3CB1F9E04}"/>
    <cellStyle name="Euro 3" xfId="3" xr:uid="{00000000-0005-0000-0000-000002000000}"/>
    <cellStyle name="Euro 3 2" xfId="1369" xr:uid="{1B1EF40A-9B02-4B95-8F26-F30B94AC5206}"/>
    <cellStyle name="Euro 4" xfId="4" xr:uid="{00000000-0005-0000-0000-000003000000}"/>
    <cellStyle name="Euro 4 2" xfId="1370" xr:uid="{C2254ADF-32EE-41A5-839A-CEE6120B71D6}"/>
    <cellStyle name="Euro 5" xfId="5" xr:uid="{00000000-0005-0000-0000-000004000000}"/>
    <cellStyle name="Euro 5 2" xfId="1371" xr:uid="{18E9AA90-A804-4A23-A9CD-BD73583862CF}"/>
    <cellStyle name="Euro 6" xfId="6" xr:uid="{00000000-0005-0000-0000-000005000000}"/>
    <cellStyle name="Euro 6 2" xfId="1372" xr:uid="{E9C90EEA-3691-4B84-9959-D76B284670B8}"/>
    <cellStyle name="Euro 7" xfId="7" xr:uid="{00000000-0005-0000-0000-000006000000}"/>
    <cellStyle name="Euro 7 2" xfId="1373" xr:uid="{48477510-935F-4C20-A544-87108A7AF47F}"/>
    <cellStyle name="Euro 8" xfId="1367" xr:uid="{673EA9BD-6FC0-4CF8-AAE6-922CD20B01E3}"/>
    <cellStyle name="Excel Built-in Normal" xfId="8" xr:uid="{00000000-0005-0000-0000-000007000000}"/>
    <cellStyle name="Lien hypertexte 2" xfId="9" xr:uid="{00000000-0005-0000-0000-000008000000}"/>
    <cellStyle name="Milliers 10" xfId="10" xr:uid="{00000000-0005-0000-0000-000009000000}"/>
    <cellStyle name="Milliers 10 2" xfId="11" xr:uid="{00000000-0005-0000-0000-00000A000000}"/>
    <cellStyle name="Milliers 10 3" xfId="12" xr:uid="{00000000-0005-0000-0000-00000B000000}"/>
    <cellStyle name="Milliers 2" xfId="13" xr:uid="{00000000-0005-0000-0000-00000C000000}"/>
    <cellStyle name="Milliers 2 10" xfId="14" xr:uid="{00000000-0005-0000-0000-00000D000000}"/>
    <cellStyle name="Milliers 2 11" xfId="15" xr:uid="{00000000-0005-0000-0000-00000E000000}"/>
    <cellStyle name="Milliers 2 12" xfId="16" xr:uid="{00000000-0005-0000-0000-00000F000000}"/>
    <cellStyle name="Milliers 2 13" xfId="17" xr:uid="{00000000-0005-0000-0000-000010000000}"/>
    <cellStyle name="Milliers 2 14" xfId="18" xr:uid="{00000000-0005-0000-0000-000011000000}"/>
    <cellStyle name="Milliers 2 15" xfId="19" xr:uid="{00000000-0005-0000-0000-000012000000}"/>
    <cellStyle name="Milliers 2 16" xfId="20" xr:uid="{00000000-0005-0000-0000-000013000000}"/>
    <cellStyle name="Milliers 2 17" xfId="21" xr:uid="{00000000-0005-0000-0000-000014000000}"/>
    <cellStyle name="Milliers 2 18" xfId="22" xr:uid="{00000000-0005-0000-0000-000015000000}"/>
    <cellStyle name="Milliers 2 19" xfId="23" xr:uid="{00000000-0005-0000-0000-000016000000}"/>
    <cellStyle name="Milliers 2 2" xfId="24" xr:uid="{00000000-0005-0000-0000-000017000000}"/>
    <cellStyle name="Milliers 2 2 10" xfId="25" xr:uid="{00000000-0005-0000-0000-000018000000}"/>
    <cellStyle name="Milliers 2 2 10 2" xfId="26" xr:uid="{00000000-0005-0000-0000-000019000000}"/>
    <cellStyle name="Milliers 2 2 10 2 2" xfId="27" xr:uid="{00000000-0005-0000-0000-00001A000000}"/>
    <cellStyle name="Milliers 2 2 10 3" xfId="28" xr:uid="{00000000-0005-0000-0000-00001B000000}"/>
    <cellStyle name="Milliers 2 2 11" xfId="29" xr:uid="{00000000-0005-0000-0000-00001C000000}"/>
    <cellStyle name="Milliers 2 2 12" xfId="30" xr:uid="{00000000-0005-0000-0000-00001D000000}"/>
    <cellStyle name="Milliers 2 2 13" xfId="31" xr:uid="{00000000-0005-0000-0000-00001E000000}"/>
    <cellStyle name="Milliers 2 2 14" xfId="32" xr:uid="{00000000-0005-0000-0000-00001F000000}"/>
    <cellStyle name="Milliers 2 2 2" xfId="33" xr:uid="{00000000-0005-0000-0000-000020000000}"/>
    <cellStyle name="Milliers 2 2 3" xfId="34" xr:uid="{00000000-0005-0000-0000-000021000000}"/>
    <cellStyle name="Milliers 2 2 4" xfId="35" xr:uid="{00000000-0005-0000-0000-000022000000}"/>
    <cellStyle name="Milliers 2 2 5" xfId="36" xr:uid="{00000000-0005-0000-0000-000023000000}"/>
    <cellStyle name="Milliers 2 2 6" xfId="37" xr:uid="{00000000-0005-0000-0000-000024000000}"/>
    <cellStyle name="Milliers 2 2 7" xfId="38" xr:uid="{00000000-0005-0000-0000-000025000000}"/>
    <cellStyle name="Milliers 2 2 8" xfId="39" xr:uid="{00000000-0005-0000-0000-000026000000}"/>
    <cellStyle name="Milliers 2 2 9" xfId="40" xr:uid="{00000000-0005-0000-0000-000027000000}"/>
    <cellStyle name="Milliers 2 20" xfId="41" xr:uid="{00000000-0005-0000-0000-000028000000}"/>
    <cellStyle name="Milliers 2 20 2" xfId="42" xr:uid="{00000000-0005-0000-0000-000029000000}"/>
    <cellStyle name="Milliers 2 20 3" xfId="43" xr:uid="{00000000-0005-0000-0000-00002A000000}"/>
    <cellStyle name="Milliers 2 21" xfId="44" xr:uid="{00000000-0005-0000-0000-00002B000000}"/>
    <cellStyle name="Milliers 2 22" xfId="45" xr:uid="{00000000-0005-0000-0000-00002C000000}"/>
    <cellStyle name="Milliers 2 23" xfId="46" xr:uid="{00000000-0005-0000-0000-00002D000000}"/>
    <cellStyle name="Milliers 2 24" xfId="47" xr:uid="{00000000-0005-0000-0000-00002E000000}"/>
    <cellStyle name="Milliers 2 25" xfId="48" xr:uid="{00000000-0005-0000-0000-00002F000000}"/>
    <cellStyle name="Milliers 2 26" xfId="49" xr:uid="{00000000-0005-0000-0000-000030000000}"/>
    <cellStyle name="Milliers 2 27" xfId="50" xr:uid="{00000000-0005-0000-0000-000031000000}"/>
    <cellStyle name="Milliers 2 28" xfId="51" xr:uid="{00000000-0005-0000-0000-000032000000}"/>
    <cellStyle name="Milliers 2 29" xfId="52" xr:uid="{00000000-0005-0000-0000-000033000000}"/>
    <cellStyle name="Milliers 2 3" xfId="53" xr:uid="{00000000-0005-0000-0000-000034000000}"/>
    <cellStyle name="Milliers 2 3 2" xfId="54" xr:uid="{00000000-0005-0000-0000-000035000000}"/>
    <cellStyle name="Milliers 2 3 3" xfId="55" xr:uid="{00000000-0005-0000-0000-000036000000}"/>
    <cellStyle name="Milliers 2 30" xfId="56" xr:uid="{00000000-0005-0000-0000-000037000000}"/>
    <cellStyle name="Milliers 2 31" xfId="57" xr:uid="{00000000-0005-0000-0000-000038000000}"/>
    <cellStyle name="Milliers 2 32" xfId="58" xr:uid="{00000000-0005-0000-0000-000039000000}"/>
    <cellStyle name="Milliers 2 33" xfId="59" xr:uid="{00000000-0005-0000-0000-00003A000000}"/>
    <cellStyle name="Milliers 2 34" xfId="60" xr:uid="{00000000-0005-0000-0000-00003B000000}"/>
    <cellStyle name="Milliers 2 35" xfId="61" xr:uid="{00000000-0005-0000-0000-00003C000000}"/>
    <cellStyle name="Milliers 2 36" xfId="62" xr:uid="{00000000-0005-0000-0000-00003D000000}"/>
    <cellStyle name="Milliers 2 37" xfId="63" xr:uid="{00000000-0005-0000-0000-00003E000000}"/>
    <cellStyle name="Milliers 2 38" xfId="64" xr:uid="{00000000-0005-0000-0000-00003F000000}"/>
    <cellStyle name="Milliers 2 39" xfId="65" xr:uid="{00000000-0005-0000-0000-000040000000}"/>
    <cellStyle name="Milliers 2 4" xfId="66" xr:uid="{00000000-0005-0000-0000-000041000000}"/>
    <cellStyle name="Milliers 2 4 2" xfId="67" xr:uid="{00000000-0005-0000-0000-000042000000}"/>
    <cellStyle name="Milliers 2 4 3" xfId="68" xr:uid="{00000000-0005-0000-0000-000043000000}"/>
    <cellStyle name="Milliers 2 40" xfId="69" xr:uid="{00000000-0005-0000-0000-000044000000}"/>
    <cellStyle name="Milliers 2 41" xfId="70" xr:uid="{00000000-0005-0000-0000-000045000000}"/>
    <cellStyle name="Milliers 2 41 2" xfId="71" xr:uid="{00000000-0005-0000-0000-000046000000}"/>
    <cellStyle name="Milliers 2 41 3" xfId="72" xr:uid="{00000000-0005-0000-0000-000047000000}"/>
    <cellStyle name="Milliers 2 42" xfId="73" xr:uid="{00000000-0005-0000-0000-000048000000}"/>
    <cellStyle name="Milliers 2 42 2" xfId="74" xr:uid="{00000000-0005-0000-0000-000049000000}"/>
    <cellStyle name="Milliers 2 42 3" xfId="75" xr:uid="{00000000-0005-0000-0000-00004A000000}"/>
    <cellStyle name="Milliers 2 43" xfId="76" xr:uid="{00000000-0005-0000-0000-00004B000000}"/>
    <cellStyle name="Milliers 2 43 2" xfId="77" xr:uid="{00000000-0005-0000-0000-00004C000000}"/>
    <cellStyle name="Milliers 2 43 3" xfId="78" xr:uid="{00000000-0005-0000-0000-00004D000000}"/>
    <cellStyle name="Milliers 2 44" xfId="79" xr:uid="{00000000-0005-0000-0000-00004E000000}"/>
    <cellStyle name="Milliers 2 44 2" xfId="80" xr:uid="{00000000-0005-0000-0000-00004F000000}"/>
    <cellStyle name="Milliers 2 44 3" xfId="81" xr:uid="{00000000-0005-0000-0000-000050000000}"/>
    <cellStyle name="Milliers 2 45" xfId="82" xr:uid="{00000000-0005-0000-0000-000051000000}"/>
    <cellStyle name="Milliers 2 45 2" xfId="83" xr:uid="{00000000-0005-0000-0000-000052000000}"/>
    <cellStyle name="Milliers 2 45 3" xfId="84" xr:uid="{00000000-0005-0000-0000-000053000000}"/>
    <cellStyle name="Milliers 2 46" xfId="85" xr:uid="{00000000-0005-0000-0000-000054000000}"/>
    <cellStyle name="Milliers 2 46 2" xfId="86" xr:uid="{00000000-0005-0000-0000-000055000000}"/>
    <cellStyle name="Milliers 2 46 3" xfId="87" xr:uid="{00000000-0005-0000-0000-000056000000}"/>
    <cellStyle name="Milliers 2 47" xfId="88" xr:uid="{00000000-0005-0000-0000-000057000000}"/>
    <cellStyle name="Milliers 2 47 2" xfId="89" xr:uid="{00000000-0005-0000-0000-000058000000}"/>
    <cellStyle name="Milliers 2 47 3" xfId="90" xr:uid="{00000000-0005-0000-0000-000059000000}"/>
    <cellStyle name="Milliers 2 48" xfId="91" xr:uid="{00000000-0005-0000-0000-00005A000000}"/>
    <cellStyle name="Milliers 2 49" xfId="92" xr:uid="{00000000-0005-0000-0000-00005B000000}"/>
    <cellStyle name="Milliers 2 5" xfId="93" xr:uid="{00000000-0005-0000-0000-00005C000000}"/>
    <cellStyle name="Milliers 2 5 2" xfId="94" xr:uid="{00000000-0005-0000-0000-00005D000000}"/>
    <cellStyle name="Milliers 2 5 3" xfId="95" xr:uid="{00000000-0005-0000-0000-00005E000000}"/>
    <cellStyle name="Milliers 2 50" xfId="96" xr:uid="{00000000-0005-0000-0000-00005F000000}"/>
    <cellStyle name="Milliers 2 51" xfId="97" xr:uid="{00000000-0005-0000-0000-000060000000}"/>
    <cellStyle name="Milliers 2 52" xfId="98" xr:uid="{00000000-0005-0000-0000-000061000000}"/>
    <cellStyle name="Milliers 2 53" xfId="99" xr:uid="{00000000-0005-0000-0000-000062000000}"/>
    <cellStyle name="Milliers 2 54" xfId="100" xr:uid="{00000000-0005-0000-0000-000063000000}"/>
    <cellStyle name="Milliers 2 6" xfId="101" xr:uid="{00000000-0005-0000-0000-000064000000}"/>
    <cellStyle name="Milliers 2 7" xfId="102" xr:uid="{00000000-0005-0000-0000-000065000000}"/>
    <cellStyle name="Milliers 2 8" xfId="103" xr:uid="{00000000-0005-0000-0000-000066000000}"/>
    <cellStyle name="Milliers 2 9" xfId="104" xr:uid="{00000000-0005-0000-0000-000067000000}"/>
    <cellStyle name="Milliers 3" xfId="105" xr:uid="{00000000-0005-0000-0000-000068000000}"/>
    <cellStyle name="Milliers 3 10" xfId="106" xr:uid="{00000000-0005-0000-0000-000069000000}"/>
    <cellStyle name="Milliers 3 11" xfId="107" xr:uid="{00000000-0005-0000-0000-00006A000000}"/>
    <cellStyle name="Milliers 3 12" xfId="108" xr:uid="{00000000-0005-0000-0000-00006B000000}"/>
    <cellStyle name="Milliers 3 13" xfId="109" xr:uid="{00000000-0005-0000-0000-00006C000000}"/>
    <cellStyle name="Milliers 3 14" xfId="110" xr:uid="{00000000-0005-0000-0000-00006D000000}"/>
    <cellStyle name="Milliers 3 15" xfId="111" xr:uid="{00000000-0005-0000-0000-00006E000000}"/>
    <cellStyle name="Milliers 3 16" xfId="112" xr:uid="{00000000-0005-0000-0000-00006F000000}"/>
    <cellStyle name="Milliers 3 17" xfId="113" xr:uid="{00000000-0005-0000-0000-000070000000}"/>
    <cellStyle name="Milliers 3 18" xfId="114" xr:uid="{00000000-0005-0000-0000-000071000000}"/>
    <cellStyle name="Milliers 3 19" xfId="115" xr:uid="{00000000-0005-0000-0000-000072000000}"/>
    <cellStyle name="Milliers 3 2" xfId="116" xr:uid="{00000000-0005-0000-0000-000073000000}"/>
    <cellStyle name="Milliers 3 20" xfId="117" xr:uid="{00000000-0005-0000-0000-000074000000}"/>
    <cellStyle name="Milliers 3 21" xfId="118" xr:uid="{00000000-0005-0000-0000-000075000000}"/>
    <cellStyle name="Milliers 3 22" xfId="119" xr:uid="{00000000-0005-0000-0000-000076000000}"/>
    <cellStyle name="Milliers 3 22 2" xfId="120" xr:uid="{00000000-0005-0000-0000-000077000000}"/>
    <cellStyle name="Milliers 3 22 3" xfId="121" xr:uid="{00000000-0005-0000-0000-000078000000}"/>
    <cellStyle name="Milliers 3 22 4" xfId="122" xr:uid="{00000000-0005-0000-0000-000079000000}"/>
    <cellStyle name="Milliers 3 23" xfId="123" xr:uid="{00000000-0005-0000-0000-00007A000000}"/>
    <cellStyle name="Milliers 3 24" xfId="124" xr:uid="{00000000-0005-0000-0000-00007B000000}"/>
    <cellStyle name="Milliers 3 25" xfId="125" xr:uid="{00000000-0005-0000-0000-00007C000000}"/>
    <cellStyle name="Milliers 3 26" xfId="126" xr:uid="{00000000-0005-0000-0000-00007D000000}"/>
    <cellStyle name="Milliers 3 27" xfId="127" xr:uid="{00000000-0005-0000-0000-00007E000000}"/>
    <cellStyle name="Milliers 3 28" xfId="128" xr:uid="{00000000-0005-0000-0000-00007F000000}"/>
    <cellStyle name="Milliers 3 29" xfId="129" xr:uid="{00000000-0005-0000-0000-000080000000}"/>
    <cellStyle name="Milliers 3 3" xfId="130" xr:uid="{00000000-0005-0000-0000-000081000000}"/>
    <cellStyle name="Milliers 3 30" xfId="131" xr:uid="{00000000-0005-0000-0000-000082000000}"/>
    <cellStyle name="Milliers 3 31" xfId="132" xr:uid="{00000000-0005-0000-0000-000083000000}"/>
    <cellStyle name="Milliers 3 32" xfId="133" xr:uid="{00000000-0005-0000-0000-000084000000}"/>
    <cellStyle name="Milliers 3 33" xfId="134" xr:uid="{00000000-0005-0000-0000-000085000000}"/>
    <cellStyle name="Milliers 3 34" xfId="135" xr:uid="{00000000-0005-0000-0000-000086000000}"/>
    <cellStyle name="Milliers 3 35" xfId="136" xr:uid="{00000000-0005-0000-0000-000087000000}"/>
    <cellStyle name="Milliers 3 36" xfId="137" xr:uid="{00000000-0005-0000-0000-000088000000}"/>
    <cellStyle name="Milliers 3 37" xfId="138" xr:uid="{00000000-0005-0000-0000-000089000000}"/>
    <cellStyle name="Milliers 3 38" xfId="139" xr:uid="{00000000-0005-0000-0000-00008A000000}"/>
    <cellStyle name="Milliers 3 39" xfId="140" xr:uid="{00000000-0005-0000-0000-00008B000000}"/>
    <cellStyle name="Milliers 3 4" xfId="141" xr:uid="{00000000-0005-0000-0000-00008C000000}"/>
    <cellStyle name="Milliers 3 40" xfId="142" xr:uid="{00000000-0005-0000-0000-00008D000000}"/>
    <cellStyle name="Milliers 3 40 2" xfId="143" xr:uid="{00000000-0005-0000-0000-00008E000000}"/>
    <cellStyle name="Milliers 3 40 3" xfId="144" xr:uid="{00000000-0005-0000-0000-00008F000000}"/>
    <cellStyle name="Milliers 3 41" xfId="145" xr:uid="{00000000-0005-0000-0000-000090000000}"/>
    <cellStyle name="Milliers 3 42" xfId="146" xr:uid="{00000000-0005-0000-0000-000091000000}"/>
    <cellStyle name="Milliers 3 43" xfId="147" xr:uid="{00000000-0005-0000-0000-000092000000}"/>
    <cellStyle name="Milliers 3 44" xfId="148" xr:uid="{00000000-0005-0000-0000-000093000000}"/>
    <cellStyle name="Milliers 3 45" xfId="149" xr:uid="{00000000-0005-0000-0000-000094000000}"/>
    <cellStyle name="Milliers 3 46" xfId="150" xr:uid="{00000000-0005-0000-0000-000095000000}"/>
    <cellStyle name="Milliers 3 47" xfId="151" xr:uid="{00000000-0005-0000-0000-000096000000}"/>
    <cellStyle name="Milliers 3 48" xfId="152" xr:uid="{00000000-0005-0000-0000-000097000000}"/>
    <cellStyle name="Milliers 3 49" xfId="153" xr:uid="{00000000-0005-0000-0000-000098000000}"/>
    <cellStyle name="Milliers 3 5" xfId="154" xr:uid="{00000000-0005-0000-0000-000099000000}"/>
    <cellStyle name="Milliers 3 50" xfId="155" xr:uid="{00000000-0005-0000-0000-00009A000000}"/>
    <cellStyle name="Milliers 3 51" xfId="156" xr:uid="{00000000-0005-0000-0000-00009B000000}"/>
    <cellStyle name="Milliers 3 52" xfId="157" xr:uid="{00000000-0005-0000-0000-00009C000000}"/>
    <cellStyle name="Milliers 3 53" xfId="158" xr:uid="{00000000-0005-0000-0000-00009D000000}"/>
    <cellStyle name="Milliers 3 54" xfId="159" xr:uid="{00000000-0005-0000-0000-00009E000000}"/>
    <cellStyle name="Milliers 3 55" xfId="160" xr:uid="{00000000-0005-0000-0000-00009F000000}"/>
    <cellStyle name="Milliers 3 6" xfId="161" xr:uid="{00000000-0005-0000-0000-0000A0000000}"/>
    <cellStyle name="Milliers 3 7" xfId="162" xr:uid="{00000000-0005-0000-0000-0000A1000000}"/>
    <cellStyle name="Milliers 3 8" xfId="163" xr:uid="{00000000-0005-0000-0000-0000A2000000}"/>
    <cellStyle name="Milliers 3 9" xfId="164" xr:uid="{00000000-0005-0000-0000-0000A3000000}"/>
    <cellStyle name="Milliers 4" xfId="165" xr:uid="{00000000-0005-0000-0000-0000A4000000}"/>
    <cellStyle name="Milliers 4 2" xfId="166" xr:uid="{00000000-0005-0000-0000-0000A5000000}"/>
    <cellStyle name="Milliers 4 2 2" xfId="167" xr:uid="{00000000-0005-0000-0000-0000A6000000}"/>
    <cellStyle name="Milliers 4 2 3" xfId="168" xr:uid="{00000000-0005-0000-0000-0000A7000000}"/>
    <cellStyle name="Milliers 5" xfId="169" xr:uid="{00000000-0005-0000-0000-0000A8000000}"/>
    <cellStyle name="Milliers 5 2" xfId="170" xr:uid="{00000000-0005-0000-0000-0000A9000000}"/>
    <cellStyle name="Milliers 5 3" xfId="171" xr:uid="{00000000-0005-0000-0000-0000AA000000}"/>
    <cellStyle name="Milliers 5 4" xfId="172" xr:uid="{00000000-0005-0000-0000-0000AB000000}"/>
    <cellStyle name="Milliers 6" xfId="173" xr:uid="{00000000-0005-0000-0000-0000AC000000}"/>
    <cellStyle name="Milliers 7" xfId="174" xr:uid="{00000000-0005-0000-0000-0000AD000000}"/>
    <cellStyle name="Milliers 7 10" xfId="175" xr:uid="{00000000-0005-0000-0000-0000AE000000}"/>
    <cellStyle name="Milliers 7 10 2" xfId="176" xr:uid="{00000000-0005-0000-0000-0000AF000000}"/>
    <cellStyle name="Milliers 7 10 2 2" xfId="177" xr:uid="{00000000-0005-0000-0000-0000B0000000}"/>
    <cellStyle name="Milliers 7 10 3" xfId="178" xr:uid="{00000000-0005-0000-0000-0000B1000000}"/>
    <cellStyle name="Milliers 7 11" xfId="179" xr:uid="{00000000-0005-0000-0000-0000B2000000}"/>
    <cellStyle name="Milliers 7 11 2" xfId="180" xr:uid="{00000000-0005-0000-0000-0000B3000000}"/>
    <cellStyle name="Milliers 7 11 2 2" xfId="181" xr:uid="{00000000-0005-0000-0000-0000B4000000}"/>
    <cellStyle name="Milliers 7 11 3" xfId="182" xr:uid="{00000000-0005-0000-0000-0000B5000000}"/>
    <cellStyle name="Milliers 7 12" xfId="183" xr:uid="{00000000-0005-0000-0000-0000B6000000}"/>
    <cellStyle name="Milliers 7 12 2" xfId="184" xr:uid="{00000000-0005-0000-0000-0000B7000000}"/>
    <cellStyle name="Milliers 7 12 2 2" xfId="185" xr:uid="{00000000-0005-0000-0000-0000B8000000}"/>
    <cellStyle name="Milliers 7 12 3" xfId="186" xr:uid="{00000000-0005-0000-0000-0000B9000000}"/>
    <cellStyle name="Milliers 7 13" xfId="187" xr:uid="{00000000-0005-0000-0000-0000BA000000}"/>
    <cellStyle name="Milliers 7 13 2" xfId="188" xr:uid="{00000000-0005-0000-0000-0000BB000000}"/>
    <cellStyle name="Milliers 7 13 2 2" xfId="189" xr:uid="{00000000-0005-0000-0000-0000BC000000}"/>
    <cellStyle name="Milliers 7 13 3" xfId="190" xr:uid="{00000000-0005-0000-0000-0000BD000000}"/>
    <cellStyle name="Milliers 7 14" xfId="191" xr:uid="{00000000-0005-0000-0000-0000BE000000}"/>
    <cellStyle name="Milliers 7 14 2" xfId="192" xr:uid="{00000000-0005-0000-0000-0000BF000000}"/>
    <cellStyle name="Milliers 7 14 2 2" xfId="193" xr:uid="{00000000-0005-0000-0000-0000C0000000}"/>
    <cellStyle name="Milliers 7 14 3" xfId="194" xr:uid="{00000000-0005-0000-0000-0000C1000000}"/>
    <cellStyle name="Milliers 7 15" xfId="195" xr:uid="{00000000-0005-0000-0000-0000C2000000}"/>
    <cellStyle name="Milliers 7 2" xfId="196" xr:uid="{00000000-0005-0000-0000-0000C3000000}"/>
    <cellStyle name="Milliers 7 2 2" xfId="197" xr:uid="{00000000-0005-0000-0000-0000C4000000}"/>
    <cellStyle name="Milliers 7 2 2 2" xfId="198" xr:uid="{00000000-0005-0000-0000-0000C5000000}"/>
    <cellStyle name="Milliers 7 2 3" xfId="199" xr:uid="{00000000-0005-0000-0000-0000C6000000}"/>
    <cellStyle name="Milliers 7 3" xfId="200" xr:uid="{00000000-0005-0000-0000-0000C7000000}"/>
    <cellStyle name="Milliers 7 3 2" xfId="201" xr:uid="{00000000-0005-0000-0000-0000C8000000}"/>
    <cellStyle name="Milliers 7 3 2 2" xfId="202" xr:uid="{00000000-0005-0000-0000-0000C9000000}"/>
    <cellStyle name="Milliers 7 3 3" xfId="203" xr:uid="{00000000-0005-0000-0000-0000CA000000}"/>
    <cellStyle name="Milliers 7 4" xfId="204" xr:uid="{00000000-0005-0000-0000-0000CB000000}"/>
    <cellStyle name="Milliers 7 4 2" xfId="205" xr:uid="{00000000-0005-0000-0000-0000CC000000}"/>
    <cellStyle name="Milliers 7 4 2 2" xfId="206" xr:uid="{00000000-0005-0000-0000-0000CD000000}"/>
    <cellStyle name="Milliers 7 4 3" xfId="207" xr:uid="{00000000-0005-0000-0000-0000CE000000}"/>
    <cellStyle name="Milliers 7 5" xfId="208" xr:uid="{00000000-0005-0000-0000-0000CF000000}"/>
    <cellStyle name="Milliers 7 5 2" xfId="209" xr:uid="{00000000-0005-0000-0000-0000D0000000}"/>
    <cellStyle name="Milliers 7 5 2 2" xfId="210" xr:uid="{00000000-0005-0000-0000-0000D1000000}"/>
    <cellStyle name="Milliers 7 5 3" xfId="211" xr:uid="{00000000-0005-0000-0000-0000D2000000}"/>
    <cellStyle name="Milliers 7 6" xfId="212" xr:uid="{00000000-0005-0000-0000-0000D3000000}"/>
    <cellStyle name="Milliers 7 6 2" xfId="213" xr:uid="{00000000-0005-0000-0000-0000D4000000}"/>
    <cellStyle name="Milliers 7 6 2 2" xfId="214" xr:uid="{00000000-0005-0000-0000-0000D5000000}"/>
    <cellStyle name="Milliers 7 6 3" xfId="215" xr:uid="{00000000-0005-0000-0000-0000D6000000}"/>
    <cellStyle name="Milliers 7 7" xfId="216" xr:uid="{00000000-0005-0000-0000-0000D7000000}"/>
    <cellStyle name="Milliers 7 7 2" xfId="217" xr:uid="{00000000-0005-0000-0000-0000D8000000}"/>
    <cellStyle name="Milliers 7 7 2 2" xfId="218" xr:uid="{00000000-0005-0000-0000-0000D9000000}"/>
    <cellStyle name="Milliers 7 7 3" xfId="219" xr:uid="{00000000-0005-0000-0000-0000DA000000}"/>
    <cellStyle name="Milliers 7 8" xfId="220" xr:uid="{00000000-0005-0000-0000-0000DB000000}"/>
    <cellStyle name="Milliers 7 8 2" xfId="221" xr:uid="{00000000-0005-0000-0000-0000DC000000}"/>
    <cellStyle name="Milliers 7 8 2 2" xfId="222" xr:uid="{00000000-0005-0000-0000-0000DD000000}"/>
    <cellStyle name="Milliers 7 8 3" xfId="223" xr:uid="{00000000-0005-0000-0000-0000DE000000}"/>
    <cellStyle name="Milliers 7 9" xfId="224" xr:uid="{00000000-0005-0000-0000-0000DF000000}"/>
    <cellStyle name="Milliers 7 9 2" xfId="225" xr:uid="{00000000-0005-0000-0000-0000E0000000}"/>
    <cellStyle name="Milliers 7 9 2 2" xfId="226" xr:uid="{00000000-0005-0000-0000-0000E1000000}"/>
    <cellStyle name="Milliers 7 9 3" xfId="227" xr:uid="{00000000-0005-0000-0000-0000E2000000}"/>
    <cellStyle name="Milliers 8" xfId="228" xr:uid="{00000000-0005-0000-0000-0000E3000000}"/>
    <cellStyle name="Milliers 8 2" xfId="229" xr:uid="{00000000-0005-0000-0000-0000E4000000}"/>
    <cellStyle name="Milliers 9" xfId="230" xr:uid="{00000000-0005-0000-0000-0000E5000000}"/>
    <cellStyle name="Normal" xfId="0" builtinId="0"/>
    <cellStyle name="Normal 10" xfId="231" xr:uid="{00000000-0005-0000-0000-0000E7000000}"/>
    <cellStyle name="Normal 10 2" xfId="232" xr:uid="{00000000-0005-0000-0000-0000E8000000}"/>
    <cellStyle name="Normal 10 3" xfId="233" xr:uid="{00000000-0005-0000-0000-0000E9000000}"/>
    <cellStyle name="Normal 10 4" xfId="234" xr:uid="{00000000-0005-0000-0000-0000EA000000}"/>
    <cellStyle name="Normal 10 5" xfId="235" xr:uid="{00000000-0005-0000-0000-0000EB000000}"/>
    <cellStyle name="Normal 10 6" xfId="236" xr:uid="{00000000-0005-0000-0000-0000EC000000}"/>
    <cellStyle name="Normal 10 7" xfId="237" xr:uid="{00000000-0005-0000-0000-0000ED000000}"/>
    <cellStyle name="Normal 11" xfId="238" xr:uid="{00000000-0005-0000-0000-0000EE000000}"/>
    <cellStyle name="Normal 11 2" xfId="239" xr:uid="{00000000-0005-0000-0000-0000EF000000}"/>
    <cellStyle name="Normal 11 3" xfId="240" xr:uid="{00000000-0005-0000-0000-0000F0000000}"/>
    <cellStyle name="Normal 11 4" xfId="241" xr:uid="{00000000-0005-0000-0000-0000F1000000}"/>
    <cellStyle name="Normal 11 5" xfId="242" xr:uid="{00000000-0005-0000-0000-0000F2000000}"/>
    <cellStyle name="Normal 11 6" xfId="243" xr:uid="{00000000-0005-0000-0000-0000F3000000}"/>
    <cellStyle name="Normal 12" xfId="244" xr:uid="{00000000-0005-0000-0000-0000F4000000}"/>
    <cellStyle name="Normal 12 2" xfId="245" xr:uid="{00000000-0005-0000-0000-0000F5000000}"/>
    <cellStyle name="Normal 12 3" xfId="246" xr:uid="{00000000-0005-0000-0000-0000F6000000}"/>
    <cellStyle name="Normal 12 4" xfId="247" xr:uid="{00000000-0005-0000-0000-0000F7000000}"/>
    <cellStyle name="Normal 12 5" xfId="248" xr:uid="{00000000-0005-0000-0000-0000F8000000}"/>
    <cellStyle name="Normal 12 6" xfId="249" xr:uid="{00000000-0005-0000-0000-0000F9000000}"/>
    <cellStyle name="Normal 13" xfId="250" xr:uid="{00000000-0005-0000-0000-0000FA000000}"/>
    <cellStyle name="Normal 13 2" xfId="251" xr:uid="{00000000-0005-0000-0000-0000FB000000}"/>
    <cellStyle name="Normal 13 3" xfId="252" xr:uid="{00000000-0005-0000-0000-0000FC000000}"/>
    <cellStyle name="Normal 13 4" xfId="253" xr:uid="{00000000-0005-0000-0000-0000FD000000}"/>
    <cellStyle name="Normal 13 5" xfId="254" xr:uid="{00000000-0005-0000-0000-0000FE000000}"/>
    <cellStyle name="Normal 13 6" xfId="255" xr:uid="{00000000-0005-0000-0000-0000FF000000}"/>
    <cellStyle name="Normal 14" xfId="256" xr:uid="{00000000-0005-0000-0000-000000010000}"/>
    <cellStyle name="Normal 14 2" xfId="257" xr:uid="{00000000-0005-0000-0000-000001010000}"/>
    <cellStyle name="Normal 14 3" xfId="258" xr:uid="{00000000-0005-0000-0000-000002010000}"/>
    <cellStyle name="Normal 14 4" xfId="259" xr:uid="{00000000-0005-0000-0000-000003010000}"/>
    <cellStyle name="Normal 14 5" xfId="260" xr:uid="{00000000-0005-0000-0000-000004010000}"/>
    <cellStyle name="Normal 14 6" xfId="261" xr:uid="{00000000-0005-0000-0000-000005010000}"/>
    <cellStyle name="Normal 15" xfId="262" xr:uid="{00000000-0005-0000-0000-000006010000}"/>
    <cellStyle name="Normal 16" xfId="263" xr:uid="{00000000-0005-0000-0000-000007010000}"/>
    <cellStyle name="Normal 17" xfId="264" xr:uid="{00000000-0005-0000-0000-000008010000}"/>
    <cellStyle name="Normal 17 10" xfId="265" xr:uid="{00000000-0005-0000-0000-000009010000}"/>
    <cellStyle name="Normal 17 11" xfId="266" xr:uid="{00000000-0005-0000-0000-00000A010000}"/>
    <cellStyle name="Normal 17 12" xfId="267" xr:uid="{00000000-0005-0000-0000-00000B010000}"/>
    <cellStyle name="Normal 17 15" xfId="268" xr:uid="{00000000-0005-0000-0000-00000C010000}"/>
    <cellStyle name="Normal 17 2" xfId="269" xr:uid="{00000000-0005-0000-0000-00000D010000}"/>
    <cellStyle name="Normal 17 2 2" xfId="270" xr:uid="{00000000-0005-0000-0000-00000E010000}"/>
    <cellStyle name="Normal 17 3" xfId="271" xr:uid="{00000000-0005-0000-0000-00000F010000}"/>
    <cellStyle name="Normal 17 4" xfId="272" xr:uid="{00000000-0005-0000-0000-000010010000}"/>
    <cellStyle name="Normal 17 5" xfId="273" xr:uid="{00000000-0005-0000-0000-000011010000}"/>
    <cellStyle name="Normal 17 6" xfId="274" xr:uid="{00000000-0005-0000-0000-000012010000}"/>
    <cellStyle name="Normal 17 7" xfId="275" xr:uid="{00000000-0005-0000-0000-000013010000}"/>
    <cellStyle name="Normal 17 8" xfId="276" xr:uid="{00000000-0005-0000-0000-000014010000}"/>
    <cellStyle name="Normal 17 9" xfId="277" xr:uid="{00000000-0005-0000-0000-000015010000}"/>
    <cellStyle name="Normal 18" xfId="278" xr:uid="{00000000-0005-0000-0000-000016010000}"/>
    <cellStyle name="Normal 18 2" xfId="279" xr:uid="{00000000-0005-0000-0000-000017010000}"/>
    <cellStyle name="Normal 18 2 2" xfId="280" xr:uid="{00000000-0005-0000-0000-000018010000}"/>
    <cellStyle name="Normal 18 3" xfId="281" xr:uid="{00000000-0005-0000-0000-000019010000}"/>
    <cellStyle name="Normal 18 4" xfId="282" xr:uid="{00000000-0005-0000-0000-00001A010000}"/>
    <cellStyle name="Normal 18 5" xfId="283" xr:uid="{00000000-0005-0000-0000-00001B010000}"/>
    <cellStyle name="Normal 18 6" xfId="284" xr:uid="{00000000-0005-0000-0000-00001C010000}"/>
    <cellStyle name="Normal 18 7" xfId="285" xr:uid="{00000000-0005-0000-0000-00001D010000}"/>
    <cellStyle name="Normal 19" xfId="286" xr:uid="{00000000-0005-0000-0000-00001E010000}"/>
    <cellStyle name="Normal 19 2" xfId="287" xr:uid="{00000000-0005-0000-0000-00001F010000}"/>
    <cellStyle name="Normal 19 3" xfId="288" xr:uid="{00000000-0005-0000-0000-000020010000}"/>
    <cellStyle name="Normal 19 4" xfId="289" xr:uid="{00000000-0005-0000-0000-000021010000}"/>
    <cellStyle name="Normal 19 5" xfId="290" xr:uid="{00000000-0005-0000-0000-000022010000}"/>
    <cellStyle name="Normal 19 6" xfId="291" xr:uid="{00000000-0005-0000-0000-000023010000}"/>
    <cellStyle name="Normal 19 7" xfId="292" xr:uid="{00000000-0005-0000-0000-000024010000}"/>
    <cellStyle name="Normal 2" xfId="293" xr:uid="{00000000-0005-0000-0000-000025010000}"/>
    <cellStyle name="Normal 2 10" xfId="294" xr:uid="{00000000-0005-0000-0000-000026010000}"/>
    <cellStyle name="Normal 2 10 10" xfId="295" xr:uid="{00000000-0005-0000-0000-000027010000}"/>
    <cellStyle name="Normal 2 10 11" xfId="296" xr:uid="{00000000-0005-0000-0000-000028010000}"/>
    <cellStyle name="Normal 2 10 12" xfId="297" xr:uid="{00000000-0005-0000-0000-000029010000}"/>
    <cellStyle name="Normal 2 10 13" xfId="298" xr:uid="{00000000-0005-0000-0000-00002A010000}"/>
    <cellStyle name="Normal 2 10 14" xfId="299" xr:uid="{00000000-0005-0000-0000-00002B010000}"/>
    <cellStyle name="Normal 2 10 15" xfId="300" xr:uid="{00000000-0005-0000-0000-00002C010000}"/>
    <cellStyle name="Normal 2 10 16" xfId="301" xr:uid="{00000000-0005-0000-0000-00002D010000}"/>
    <cellStyle name="Normal 2 10 17" xfId="302" xr:uid="{00000000-0005-0000-0000-00002E010000}"/>
    <cellStyle name="Normal 2 10 18" xfId="303" xr:uid="{00000000-0005-0000-0000-00002F010000}"/>
    <cellStyle name="Normal 2 10 19" xfId="304" xr:uid="{00000000-0005-0000-0000-000030010000}"/>
    <cellStyle name="Normal 2 10 2" xfId="305" xr:uid="{00000000-0005-0000-0000-000031010000}"/>
    <cellStyle name="Normal 2 10 2 2" xfId="306" xr:uid="{00000000-0005-0000-0000-000032010000}"/>
    <cellStyle name="Normal 2 10 20" xfId="307" xr:uid="{00000000-0005-0000-0000-000033010000}"/>
    <cellStyle name="Normal 2 10 21" xfId="308" xr:uid="{00000000-0005-0000-0000-000034010000}"/>
    <cellStyle name="Normal 2 10 3" xfId="309" xr:uid="{00000000-0005-0000-0000-000035010000}"/>
    <cellStyle name="Normal 2 10 4" xfId="310" xr:uid="{00000000-0005-0000-0000-000036010000}"/>
    <cellStyle name="Normal 2 10 5" xfId="311" xr:uid="{00000000-0005-0000-0000-000037010000}"/>
    <cellStyle name="Normal 2 10 6" xfId="312" xr:uid="{00000000-0005-0000-0000-000038010000}"/>
    <cellStyle name="Normal 2 10 7" xfId="313" xr:uid="{00000000-0005-0000-0000-000039010000}"/>
    <cellStyle name="Normal 2 10 8" xfId="314" xr:uid="{00000000-0005-0000-0000-00003A010000}"/>
    <cellStyle name="Normal 2 10 9" xfId="315" xr:uid="{00000000-0005-0000-0000-00003B010000}"/>
    <cellStyle name="Normal 2 11" xfId="316" xr:uid="{00000000-0005-0000-0000-00003C010000}"/>
    <cellStyle name="Normal 2 11 10" xfId="317" xr:uid="{00000000-0005-0000-0000-00003D010000}"/>
    <cellStyle name="Normal 2 11 11" xfId="318" xr:uid="{00000000-0005-0000-0000-00003E010000}"/>
    <cellStyle name="Normal 2 11 12" xfId="319" xr:uid="{00000000-0005-0000-0000-00003F010000}"/>
    <cellStyle name="Normal 2 11 13" xfId="320" xr:uid="{00000000-0005-0000-0000-000040010000}"/>
    <cellStyle name="Normal 2 11 14" xfId="321" xr:uid="{00000000-0005-0000-0000-000041010000}"/>
    <cellStyle name="Normal 2 11 15" xfId="322" xr:uid="{00000000-0005-0000-0000-000042010000}"/>
    <cellStyle name="Normal 2 11 16" xfId="323" xr:uid="{00000000-0005-0000-0000-000043010000}"/>
    <cellStyle name="Normal 2 11 17" xfId="324" xr:uid="{00000000-0005-0000-0000-000044010000}"/>
    <cellStyle name="Normal 2 11 18" xfId="325" xr:uid="{00000000-0005-0000-0000-000045010000}"/>
    <cellStyle name="Normal 2 11 19" xfId="326" xr:uid="{00000000-0005-0000-0000-000046010000}"/>
    <cellStyle name="Normal 2 11 2" xfId="327" xr:uid="{00000000-0005-0000-0000-000047010000}"/>
    <cellStyle name="Normal 2 11 20" xfId="328" xr:uid="{00000000-0005-0000-0000-000048010000}"/>
    <cellStyle name="Normal 2 11 21" xfId="329" xr:uid="{00000000-0005-0000-0000-000049010000}"/>
    <cellStyle name="Normal 2 11 3" xfId="330" xr:uid="{00000000-0005-0000-0000-00004A010000}"/>
    <cellStyle name="Normal 2 11 4" xfId="331" xr:uid="{00000000-0005-0000-0000-00004B010000}"/>
    <cellStyle name="Normal 2 11 5" xfId="332" xr:uid="{00000000-0005-0000-0000-00004C010000}"/>
    <cellStyle name="Normal 2 11 6" xfId="333" xr:uid="{00000000-0005-0000-0000-00004D010000}"/>
    <cellStyle name="Normal 2 11 7" xfId="334" xr:uid="{00000000-0005-0000-0000-00004E010000}"/>
    <cellStyle name="Normal 2 11 8" xfId="335" xr:uid="{00000000-0005-0000-0000-00004F010000}"/>
    <cellStyle name="Normal 2 11 9" xfId="336" xr:uid="{00000000-0005-0000-0000-000050010000}"/>
    <cellStyle name="Normal 2 12" xfId="337" xr:uid="{00000000-0005-0000-0000-000051010000}"/>
    <cellStyle name="Normal 2 12 10" xfId="338" xr:uid="{00000000-0005-0000-0000-000052010000}"/>
    <cellStyle name="Normal 2 12 11" xfId="339" xr:uid="{00000000-0005-0000-0000-000053010000}"/>
    <cellStyle name="Normal 2 12 12" xfId="340" xr:uid="{00000000-0005-0000-0000-000054010000}"/>
    <cellStyle name="Normal 2 12 13" xfId="341" xr:uid="{00000000-0005-0000-0000-000055010000}"/>
    <cellStyle name="Normal 2 12 14" xfId="342" xr:uid="{00000000-0005-0000-0000-000056010000}"/>
    <cellStyle name="Normal 2 12 15" xfId="343" xr:uid="{00000000-0005-0000-0000-000057010000}"/>
    <cellStyle name="Normal 2 12 16" xfId="344" xr:uid="{00000000-0005-0000-0000-000058010000}"/>
    <cellStyle name="Normal 2 12 17" xfId="345" xr:uid="{00000000-0005-0000-0000-000059010000}"/>
    <cellStyle name="Normal 2 12 18" xfId="346" xr:uid="{00000000-0005-0000-0000-00005A010000}"/>
    <cellStyle name="Normal 2 12 19" xfId="347" xr:uid="{00000000-0005-0000-0000-00005B010000}"/>
    <cellStyle name="Normal 2 12 2" xfId="348" xr:uid="{00000000-0005-0000-0000-00005C010000}"/>
    <cellStyle name="Normal 2 12 20" xfId="349" xr:uid="{00000000-0005-0000-0000-00005D010000}"/>
    <cellStyle name="Normal 2 12 21" xfId="350" xr:uid="{00000000-0005-0000-0000-00005E010000}"/>
    <cellStyle name="Normal 2 12 3" xfId="351" xr:uid="{00000000-0005-0000-0000-00005F010000}"/>
    <cellStyle name="Normal 2 12 4" xfId="352" xr:uid="{00000000-0005-0000-0000-000060010000}"/>
    <cellStyle name="Normal 2 12 5" xfId="353" xr:uid="{00000000-0005-0000-0000-000061010000}"/>
    <cellStyle name="Normal 2 12 6" xfId="354" xr:uid="{00000000-0005-0000-0000-000062010000}"/>
    <cellStyle name="Normal 2 12 7" xfId="355" xr:uid="{00000000-0005-0000-0000-000063010000}"/>
    <cellStyle name="Normal 2 12 8" xfId="356" xr:uid="{00000000-0005-0000-0000-000064010000}"/>
    <cellStyle name="Normal 2 12 9" xfId="357" xr:uid="{00000000-0005-0000-0000-000065010000}"/>
    <cellStyle name="Normal 2 13" xfId="358" xr:uid="{00000000-0005-0000-0000-000066010000}"/>
    <cellStyle name="Normal 2 13 10" xfId="359" xr:uid="{00000000-0005-0000-0000-000067010000}"/>
    <cellStyle name="Normal 2 13 11" xfId="360" xr:uid="{00000000-0005-0000-0000-000068010000}"/>
    <cellStyle name="Normal 2 13 12" xfId="361" xr:uid="{00000000-0005-0000-0000-000069010000}"/>
    <cellStyle name="Normal 2 13 13" xfId="362" xr:uid="{00000000-0005-0000-0000-00006A010000}"/>
    <cellStyle name="Normal 2 13 14" xfId="363" xr:uid="{00000000-0005-0000-0000-00006B010000}"/>
    <cellStyle name="Normal 2 13 15" xfId="364" xr:uid="{00000000-0005-0000-0000-00006C010000}"/>
    <cellStyle name="Normal 2 13 16" xfId="365" xr:uid="{00000000-0005-0000-0000-00006D010000}"/>
    <cellStyle name="Normal 2 13 17" xfId="366" xr:uid="{00000000-0005-0000-0000-00006E010000}"/>
    <cellStyle name="Normal 2 13 18" xfId="367" xr:uid="{00000000-0005-0000-0000-00006F010000}"/>
    <cellStyle name="Normal 2 13 19" xfId="368" xr:uid="{00000000-0005-0000-0000-000070010000}"/>
    <cellStyle name="Normal 2 13 2" xfId="369" xr:uid="{00000000-0005-0000-0000-000071010000}"/>
    <cellStyle name="Normal 2 13 20" xfId="370" xr:uid="{00000000-0005-0000-0000-000072010000}"/>
    <cellStyle name="Normal 2 13 21" xfId="371" xr:uid="{00000000-0005-0000-0000-000073010000}"/>
    <cellStyle name="Normal 2 13 3" xfId="372" xr:uid="{00000000-0005-0000-0000-000074010000}"/>
    <cellStyle name="Normal 2 13 4" xfId="373" xr:uid="{00000000-0005-0000-0000-000075010000}"/>
    <cellStyle name="Normal 2 13 5" xfId="374" xr:uid="{00000000-0005-0000-0000-000076010000}"/>
    <cellStyle name="Normal 2 13 6" xfId="375" xr:uid="{00000000-0005-0000-0000-000077010000}"/>
    <cellStyle name="Normal 2 13 7" xfId="376" xr:uid="{00000000-0005-0000-0000-000078010000}"/>
    <cellStyle name="Normal 2 13 8" xfId="377" xr:uid="{00000000-0005-0000-0000-000079010000}"/>
    <cellStyle name="Normal 2 13 9" xfId="378" xr:uid="{00000000-0005-0000-0000-00007A010000}"/>
    <cellStyle name="Normal 2 14" xfId="379" xr:uid="{00000000-0005-0000-0000-00007B010000}"/>
    <cellStyle name="Normal 2 14 10" xfId="380" xr:uid="{00000000-0005-0000-0000-00007C010000}"/>
    <cellStyle name="Normal 2 14 11" xfId="381" xr:uid="{00000000-0005-0000-0000-00007D010000}"/>
    <cellStyle name="Normal 2 14 12" xfId="382" xr:uid="{00000000-0005-0000-0000-00007E010000}"/>
    <cellStyle name="Normal 2 14 13" xfId="383" xr:uid="{00000000-0005-0000-0000-00007F010000}"/>
    <cellStyle name="Normal 2 14 14" xfId="384" xr:uid="{00000000-0005-0000-0000-000080010000}"/>
    <cellStyle name="Normal 2 14 15" xfId="385" xr:uid="{00000000-0005-0000-0000-000081010000}"/>
    <cellStyle name="Normal 2 14 16" xfId="386" xr:uid="{00000000-0005-0000-0000-000082010000}"/>
    <cellStyle name="Normal 2 14 17" xfId="387" xr:uid="{00000000-0005-0000-0000-000083010000}"/>
    <cellStyle name="Normal 2 14 18" xfId="388" xr:uid="{00000000-0005-0000-0000-000084010000}"/>
    <cellStyle name="Normal 2 14 19" xfId="389" xr:uid="{00000000-0005-0000-0000-000085010000}"/>
    <cellStyle name="Normal 2 14 2" xfId="390" xr:uid="{00000000-0005-0000-0000-000086010000}"/>
    <cellStyle name="Normal 2 14 20" xfId="391" xr:uid="{00000000-0005-0000-0000-000087010000}"/>
    <cellStyle name="Normal 2 14 21" xfId="392" xr:uid="{00000000-0005-0000-0000-000088010000}"/>
    <cellStyle name="Normal 2 14 3" xfId="393" xr:uid="{00000000-0005-0000-0000-000089010000}"/>
    <cellStyle name="Normal 2 14 4" xfId="394" xr:uid="{00000000-0005-0000-0000-00008A010000}"/>
    <cellStyle name="Normal 2 14 5" xfId="395" xr:uid="{00000000-0005-0000-0000-00008B010000}"/>
    <cellStyle name="Normal 2 14 6" xfId="396" xr:uid="{00000000-0005-0000-0000-00008C010000}"/>
    <cellStyle name="Normal 2 14 7" xfId="397" xr:uid="{00000000-0005-0000-0000-00008D010000}"/>
    <cellStyle name="Normal 2 14 8" xfId="398" xr:uid="{00000000-0005-0000-0000-00008E010000}"/>
    <cellStyle name="Normal 2 14 9" xfId="399" xr:uid="{00000000-0005-0000-0000-00008F010000}"/>
    <cellStyle name="Normal 2 15" xfId="400" xr:uid="{00000000-0005-0000-0000-000090010000}"/>
    <cellStyle name="Normal 2 15 10" xfId="401" xr:uid="{00000000-0005-0000-0000-000091010000}"/>
    <cellStyle name="Normal 2 15 11" xfId="402" xr:uid="{00000000-0005-0000-0000-000092010000}"/>
    <cellStyle name="Normal 2 15 12" xfId="403" xr:uid="{00000000-0005-0000-0000-000093010000}"/>
    <cellStyle name="Normal 2 15 13" xfId="404" xr:uid="{00000000-0005-0000-0000-000094010000}"/>
    <cellStyle name="Normal 2 15 14" xfId="405" xr:uid="{00000000-0005-0000-0000-000095010000}"/>
    <cellStyle name="Normal 2 15 15" xfId="406" xr:uid="{00000000-0005-0000-0000-000096010000}"/>
    <cellStyle name="Normal 2 15 16" xfId="407" xr:uid="{00000000-0005-0000-0000-000097010000}"/>
    <cellStyle name="Normal 2 15 17" xfId="408" xr:uid="{00000000-0005-0000-0000-000098010000}"/>
    <cellStyle name="Normal 2 15 18" xfId="409" xr:uid="{00000000-0005-0000-0000-000099010000}"/>
    <cellStyle name="Normal 2 15 19" xfId="410" xr:uid="{00000000-0005-0000-0000-00009A010000}"/>
    <cellStyle name="Normal 2 15 2" xfId="411" xr:uid="{00000000-0005-0000-0000-00009B010000}"/>
    <cellStyle name="Normal 2 15 20" xfId="412" xr:uid="{00000000-0005-0000-0000-00009C010000}"/>
    <cellStyle name="Normal 2 15 21" xfId="413" xr:uid="{00000000-0005-0000-0000-00009D010000}"/>
    <cellStyle name="Normal 2 15 3" xfId="414" xr:uid="{00000000-0005-0000-0000-00009E010000}"/>
    <cellStyle name="Normal 2 15 4" xfId="415" xr:uid="{00000000-0005-0000-0000-00009F010000}"/>
    <cellStyle name="Normal 2 15 5" xfId="416" xr:uid="{00000000-0005-0000-0000-0000A0010000}"/>
    <cellStyle name="Normal 2 15 6" xfId="417" xr:uid="{00000000-0005-0000-0000-0000A1010000}"/>
    <cellStyle name="Normal 2 15 7" xfId="418" xr:uid="{00000000-0005-0000-0000-0000A2010000}"/>
    <cellStyle name="Normal 2 15 8" xfId="419" xr:uid="{00000000-0005-0000-0000-0000A3010000}"/>
    <cellStyle name="Normal 2 15 9" xfId="420" xr:uid="{00000000-0005-0000-0000-0000A4010000}"/>
    <cellStyle name="Normal 2 16" xfId="421" xr:uid="{00000000-0005-0000-0000-0000A5010000}"/>
    <cellStyle name="Normal 2 16 10" xfId="422" xr:uid="{00000000-0005-0000-0000-0000A6010000}"/>
    <cellStyle name="Normal 2 16 11" xfId="423" xr:uid="{00000000-0005-0000-0000-0000A7010000}"/>
    <cellStyle name="Normal 2 16 12" xfId="424" xr:uid="{00000000-0005-0000-0000-0000A8010000}"/>
    <cellStyle name="Normal 2 16 13" xfId="425" xr:uid="{00000000-0005-0000-0000-0000A9010000}"/>
    <cellStyle name="Normal 2 16 14" xfId="426" xr:uid="{00000000-0005-0000-0000-0000AA010000}"/>
    <cellStyle name="Normal 2 16 15" xfId="427" xr:uid="{00000000-0005-0000-0000-0000AB010000}"/>
    <cellStyle name="Normal 2 16 16" xfId="428" xr:uid="{00000000-0005-0000-0000-0000AC010000}"/>
    <cellStyle name="Normal 2 16 17" xfId="429" xr:uid="{00000000-0005-0000-0000-0000AD010000}"/>
    <cellStyle name="Normal 2 16 18" xfId="430" xr:uid="{00000000-0005-0000-0000-0000AE010000}"/>
    <cellStyle name="Normal 2 16 19" xfId="431" xr:uid="{00000000-0005-0000-0000-0000AF010000}"/>
    <cellStyle name="Normal 2 16 2" xfId="432" xr:uid="{00000000-0005-0000-0000-0000B0010000}"/>
    <cellStyle name="Normal 2 16 20" xfId="433" xr:uid="{00000000-0005-0000-0000-0000B1010000}"/>
    <cellStyle name="Normal 2 16 21" xfId="434" xr:uid="{00000000-0005-0000-0000-0000B2010000}"/>
    <cellStyle name="Normal 2 16 3" xfId="435" xr:uid="{00000000-0005-0000-0000-0000B3010000}"/>
    <cellStyle name="Normal 2 16 4" xfId="436" xr:uid="{00000000-0005-0000-0000-0000B4010000}"/>
    <cellStyle name="Normal 2 16 5" xfId="437" xr:uid="{00000000-0005-0000-0000-0000B5010000}"/>
    <cellStyle name="Normal 2 16 6" xfId="438" xr:uid="{00000000-0005-0000-0000-0000B6010000}"/>
    <cellStyle name="Normal 2 16 7" xfId="439" xr:uid="{00000000-0005-0000-0000-0000B7010000}"/>
    <cellStyle name="Normal 2 16 8" xfId="440" xr:uid="{00000000-0005-0000-0000-0000B8010000}"/>
    <cellStyle name="Normal 2 16 9" xfId="441" xr:uid="{00000000-0005-0000-0000-0000B9010000}"/>
    <cellStyle name="Normal 2 17" xfId="442" xr:uid="{00000000-0005-0000-0000-0000BA010000}"/>
    <cellStyle name="Normal 2 17 10" xfId="443" xr:uid="{00000000-0005-0000-0000-0000BB010000}"/>
    <cellStyle name="Normal 2 17 11" xfId="444" xr:uid="{00000000-0005-0000-0000-0000BC010000}"/>
    <cellStyle name="Normal 2 17 12" xfId="445" xr:uid="{00000000-0005-0000-0000-0000BD010000}"/>
    <cellStyle name="Normal 2 17 13" xfId="446" xr:uid="{00000000-0005-0000-0000-0000BE010000}"/>
    <cellStyle name="Normal 2 17 14" xfId="447" xr:uid="{00000000-0005-0000-0000-0000BF010000}"/>
    <cellStyle name="Normal 2 17 15" xfId="448" xr:uid="{00000000-0005-0000-0000-0000C0010000}"/>
    <cellStyle name="Normal 2 17 16" xfId="449" xr:uid="{00000000-0005-0000-0000-0000C1010000}"/>
    <cellStyle name="Normal 2 17 17" xfId="450" xr:uid="{00000000-0005-0000-0000-0000C2010000}"/>
    <cellStyle name="Normal 2 17 18" xfId="451" xr:uid="{00000000-0005-0000-0000-0000C3010000}"/>
    <cellStyle name="Normal 2 17 19" xfId="452" xr:uid="{00000000-0005-0000-0000-0000C4010000}"/>
    <cellStyle name="Normal 2 17 2" xfId="453" xr:uid="{00000000-0005-0000-0000-0000C5010000}"/>
    <cellStyle name="Normal 2 17 20" xfId="454" xr:uid="{00000000-0005-0000-0000-0000C6010000}"/>
    <cellStyle name="Normal 2 17 21" xfId="455" xr:uid="{00000000-0005-0000-0000-0000C7010000}"/>
    <cellStyle name="Normal 2 17 3" xfId="456" xr:uid="{00000000-0005-0000-0000-0000C8010000}"/>
    <cellStyle name="Normal 2 17 4" xfId="457" xr:uid="{00000000-0005-0000-0000-0000C9010000}"/>
    <cellStyle name="Normal 2 17 5" xfId="458" xr:uid="{00000000-0005-0000-0000-0000CA010000}"/>
    <cellStyle name="Normal 2 17 6" xfId="459" xr:uid="{00000000-0005-0000-0000-0000CB010000}"/>
    <cellStyle name="Normal 2 17 7" xfId="460" xr:uid="{00000000-0005-0000-0000-0000CC010000}"/>
    <cellStyle name="Normal 2 17 8" xfId="461" xr:uid="{00000000-0005-0000-0000-0000CD010000}"/>
    <cellStyle name="Normal 2 17 9" xfId="462" xr:uid="{00000000-0005-0000-0000-0000CE010000}"/>
    <cellStyle name="Normal 2 18" xfId="463" xr:uid="{00000000-0005-0000-0000-0000CF010000}"/>
    <cellStyle name="Normal 2 18 10" xfId="464" xr:uid="{00000000-0005-0000-0000-0000D0010000}"/>
    <cellStyle name="Normal 2 18 11" xfId="465" xr:uid="{00000000-0005-0000-0000-0000D1010000}"/>
    <cellStyle name="Normal 2 18 12" xfId="466" xr:uid="{00000000-0005-0000-0000-0000D2010000}"/>
    <cellStyle name="Normal 2 18 13" xfId="467" xr:uid="{00000000-0005-0000-0000-0000D3010000}"/>
    <cellStyle name="Normal 2 18 14" xfId="468" xr:uid="{00000000-0005-0000-0000-0000D4010000}"/>
    <cellStyle name="Normal 2 18 15" xfId="469" xr:uid="{00000000-0005-0000-0000-0000D5010000}"/>
    <cellStyle name="Normal 2 18 16" xfId="470" xr:uid="{00000000-0005-0000-0000-0000D6010000}"/>
    <cellStyle name="Normal 2 18 17" xfId="471" xr:uid="{00000000-0005-0000-0000-0000D7010000}"/>
    <cellStyle name="Normal 2 18 18" xfId="472" xr:uid="{00000000-0005-0000-0000-0000D8010000}"/>
    <cellStyle name="Normal 2 18 19" xfId="473" xr:uid="{00000000-0005-0000-0000-0000D9010000}"/>
    <cellStyle name="Normal 2 18 2" xfId="474" xr:uid="{00000000-0005-0000-0000-0000DA010000}"/>
    <cellStyle name="Normal 2 18 20" xfId="475" xr:uid="{00000000-0005-0000-0000-0000DB010000}"/>
    <cellStyle name="Normal 2 18 21" xfId="476" xr:uid="{00000000-0005-0000-0000-0000DC010000}"/>
    <cellStyle name="Normal 2 18 3" xfId="477" xr:uid="{00000000-0005-0000-0000-0000DD010000}"/>
    <cellStyle name="Normal 2 18 4" xfId="478" xr:uid="{00000000-0005-0000-0000-0000DE010000}"/>
    <cellStyle name="Normal 2 18 5" xfId="479" xr:uid="{00000000-0005-0000-0000-0000DF010000}"/>
    <cellStyle name="Normal 2 18 6" xfId="480" xr:uid="{00000000-0005-0000-0000-0000E0010000}"/>
    <cellStyle name="Normal 2 18 7" xfId="481" xr:uid="{00000000-0005-0000-0000-0000E1010000}"/>
    <cellStyle name="Normal 2 18 8" xfId="482" xr:uid="{00000000-0005-0000-0000-0000E2010000}"/>
    <cellStyle name="Normal 2 18 9" xfId="483" xr:uid="{00000000-0005-0000-0000-0000E3010000}"/>
    <cellStyle name="Normal 2 19" xfId="484" xr:uid="{00000000-0005-0000-0000-0000E4010000}"/>
    <cellStyle name="Normal 2 19 10" xfId="485" xr:uid="{00000000-0005-0000-0000-0000E5010000}"/>
    <cellStyle name="Normal 2 19 11" xfId="486" xr:uid="{00000000-0005-0000-0000-0000E6010000}"/>
    <cellStyle name="Normal 2 19 12" xfId="487" xr:uid="{00000000-0005-0000-0000-0000E7010000}"/>
    <cellStyle name="Normal 2 19 13" xfId="488" xr:uid="{00000000-0005-0000-0000-0000E8010000}"/>
    <cellStyle name="Normal 2 19 14" xfId="489" xr:uid="{00000000-0005-0000-0000-0000E9010000}"/>
    <cellStyle name="Normal 2 19 15" xfId="490" xr:uid="{00000000-0005-0000-0000-0000EA010000}"/>
    <cellStyle name="Normal 2 19 16" xfId="491" xr:uid="{00000000-0005-0000-0000-0000EB010000}"/>
    <cellStyle name="Normal 2 19 17" xfId="492" xr:uid="{00000000-0005-0000-0000-0000EC010000}"/>
    <cellStyle name="Normal 2 19 18" xfId="493" xr:uid="{00000000-0005-0000-0000-0000ED010000}"/>
    <cellStyle name="Normal 2 19 19" xfId="494" xr:uid="{00000000-0005-0000-0000-0000EE010000}"/>
    <cellStyle name="Normal 2 19 2" xfId="495" xr:uid="{00000000-0005-0000-0000-0000EF010000}"/>
    <cellStyle name="Normal 2 19 20" xfId="496" xr:uid="{00000000-0005-0000-0000-0000F0010000}"/>
    <cellStyle name="Normal 2 19 21" xfId="497" xr:uid="{00000000-0005-0000-0000-0000F1010000}"/>
    <cellStyle name="Normal 2 19 3" xfId="498" xr:uid="{00000000-0005-0000-0000-0000F2010000}"/>
    <cellStyle name="Normal 2 19 4" xfId="499" xr:uid="{00000000-0005-0000-0000-0000F3010000}"/>
    <cellStyle name="Normal 2 19 5" xfId="500" xr:uid="{00000000-0005-0000-0000-0000F4010000}"/>
    <cellStyle name="Normal 2 19 6" xfId="501" xr:uid="{00000000-0005-0000-0000-0000F5010000}"/>
    <cellStyle name="Normal 2 19 7" xfId="502" xr:uid="{00000000-0005-0000-0000-0000F6010000}"/>
    <cellStyle name="Normal 2 19 8" xfId="503" xr:uid="{00000000-0005-0000-0000-0000F7010000}"/>
    <cellStyle name="Normal 2 19 9" xfId="504" xr:uid="{00000000-0005-0000-0000-0000F8010000}"/>
    <cellStyle name="Normal 2 2" xfId="505" xr:uid="{00000000-0005-0000-0000-0000F9010000}"/>
    <cellStyle name="Normal 2 2 10" xfId="506" xr:uid="{00000000-0005-0000-0000-0000FA010000}"/>
    <cellStyle name="Normal 2 2 11" xfId="507" xr:uid="{00000000-0005-0000-0000-0000FB010000}"/>
    <cellStyle name="Normal 2 2 12" xfId="508" xr:uid="{00000000-0005-0000-0000-0000FC010000}"/>
    <cellStyle name="Normal 2 2 13" xfId="509" xr:uid="{00000000-0005-0000-0000-0000FD010000}"/>
    <cellStyle name="Normal 2 2 13 2" xfId="510" xr:uid="{00000000-0005-0000-0000-0000FE010000}"/>
    <cellStyle name="Normal 2 2 13 3" xfId="511" xr:uid="{00000000-0005-0000-0000-0000FF010000}"/>
    <cellStyle name="Normal 2 2 13 4" xfId="512" xr:uid="{00000000-0005-0000-0000-000000020000}"/>
    <cellStyle name="Normal 2 2 14" xfId="513" xr:uid="{00000000-0005-0000-0000-000001020000}"/>
    <cellStyle name="Normal 2 2 15" xfId="514" xr:uid="{00000000-0005-0000-0000-000002020000}"/>
    <cellStyle name="Normal 2 2 16" xfId="515" xr:uid="{00000000-0005-0000-0000-000003020000}"/>
    <cellStyle name="Normal 2 2 17" xfId="516" xr:uid="{00000000-0005-0000-0000-000004020000}"/>
    <cellStyle name="Normal 2 2 18" xfId="517" xr:uid="{00000000-0005-0000-0000-000005020000}"/>
    <cellStyle name="Normal 2 2 19" xfId="518" xr:uid="{00000000-0005-0000-0000-000006020000}"/>
    <cellStyle name="Normal 2 2 19 10" xfId="519" xr:uid="{00000000-0005-0000-0000-000007020000}"/>
    <cellStyle name="Normal 2 2 19 11" xfId="520" xr:uid="{00000000-0005-0000-0000-000008020000}"/>
    <cellStyle name="Normal 2 2 19 12" xfId="521" xr:uid="{00000000-0005-0000-0000-000009020000}"/>
    <cellStyle name="Normal 2 2 19 13" xfId="522" xr:uid="{00000000-0005-0000-0000-00000A020000}"/>
    <cellStyle name="Normal 2 2 19 14" xfId="523" xr:uid="{00000000-0005-0000-0000-00000B020000}"/>
    <cellStyle name="Normal 2 2 19 2" xfId="524" xr:uid="{00000000-0005-0000-0000-00000C020000}"/>
    <cellStyle name="Normal 2 2 19 3" xfId="525" xr:uid="{00000000-0005-0000-0000-00000D020000}"/>
    <cellStyle name="Normal 2 2 19 3 2" xfId="526" xr:uid="{00000000-0005-0000-0000-00000E020000}"/>
    <cellStyle name="Normal 2 2 19 3 3" xfId="527" xr:uid="{00000000-0005-0000-0000-00000F020000}"/>
    <cellStyle name="Normal 2 2 19 3 4" xfId="528" xr:uid="{00000000-0005-0000-0000-000010020000}"/>
    <cellStyle name="Normal 2 2 19 3 5" xfId="529" xr:uid="{00000000-0005-0000-0000-000011020000}"/>
    <cellStyle name="Normal 2 2 19 4" xfId="530" xr:uid="{00000000-0005-0000-0000-000012020000}"/>
    <cellStyle name="Normal 2 2 19 4 2" xfId="531" xr:uid="{00000000-0005-0000-0000-000013020000}"/>
    <cellStyle name="Normal 2 2 19 4 3" xfId="532" xr:uid="{00000000-0005-0000-0000-000014020000}"/>
    <cellStyle name="Normal 2 2 19 4 4" xfId="533" xr:uid="{00000000-0005-0000-0000-000015020000}"/>
    <cellStyle name="Normal 2 2 19 4 5" xfId="534" xr:uid="{00000000-0005-0000-0000-000016020000}"/>
    <cellStyle name="Normal 2 2 19 5" xfId="535" xr:uid="{00000000-0005-0000-0000-000017020000}"/>
    <cellStyle name="Normal 2 2 19 5 2" xfId="536" xr:uid="{00000000-0005-0000-0000-000018020000}"/>
    <cellStyle name="Normal 2 2 19 5 3" xfId="537" xr:uid="{00000000-0005-0000-0000-000019020000}"/>
    <cellStyle name="Normal 2 2 19 5 4" xfId="538" xr:uid="{00000000-0005-0000-0000-00001A020000}"/>
    <cellStyle name="Normal 2 2 19 5 5" xfId="539" xr:uid="{00000000-0005-0000-0000-00001B020000}"/>
    <cellStyle name="Normal 2 2 19 6" xfId="540" xr:uid="{00000000-0005-0000-0000-00001C020000}"/>
    <cellStyle name="Normal 2 2 19 6 2" xfId="541" xr:uid="{00000000-0005-0000-0000-00001D020000}"/>
    <cellStyle name="Normal 2 2 19 6 3" xfId="542" xr:uid="{00000000-0005-0000-0000-00001E020000}"/>
    <cellStyle name="Normal 2 2 19 6 4" xfId="543" xr:uid="{00000000-0005-0000-0000-00001F020000}"/>
    <cellStyle name="Normal 2 2 19 6 5" xfId="544" xr:uid="{00000000-0005-0000-0000-000020020000}"/>
    <cellStyle name="Normal 2 2 19 7" xfId="545" xr:uid="{00000000-0005-0000-0000-000021020000}"/>
    <cellStyle name="Normal 2 2 19 7 2" xfId="546" xr:uid="{00000000-0005-0000-0000-000022020000}"/>
    <cellStyle name="Normal 2 2 19 7 3" xfId="547" xr:uid="{00000000-0005-0000-0000-000023020000}"/>
    <cellStyle name="Normal 2 2 19 7 4" xfId="548" xr:uid="{00000000-0005-0000-0000-000024020000}"/>
    <cellStyle name="Normal 2 2 19 7 5" xfId="549" xr:uid="{00000000-0005-0000-0000-000025020000}"/>
    <cellStyle name="Normal 2 2 19 8" xfId="550" xr:uid="{00000000-0005-0000-0000-000026020000}"/>
    <cellStyle name="Normal 2 2 19 8 2" xfId="551" xr:uid="{00000000-0005-0000-0000-000027020000}"/>
    <cellStyle name="Normal 2 2 19 8 3" xfId="552" xr:uid="{00000000-0005-0000-0000-000028020000}"/>
    <cellStyle name="Normal 2 2 19 8 4" xfId="553" xr:uid="{00000000-0005-0000-0000-000029020000}"/>
    <cellStyle name="Normal 2 2 19 8 5" xfId="554" xr:uid="{00000000-0005-0000-0000-00002A020000}"/>
    <cellStyle name="Normal 2 2 19 9" xfId="555" xr:uid="{00000000-0005-0000-0000-00002B020000}"/>
    <cellStyle name="Normal 2 2 19 9 2" xfId="556" xr:uid="{00000000-0005-0000-0000-00002C020000}"/>
    <cellStyle name="Normal 2 2 19 9 3" xfId="557" xr:uid="{00000000-0005-0000-0000-00002D020000}"/>
    <cellStyle name="Normal 2 2 19 9 4" xfId="558" xr:uid="{00000000-0005-0000-0000-00002E020000}"/>
    <cellStyle name="Normal 2 2 19 9 5" xfId="559" xr:uid="{00000000-0005-0000-0000-00002F020000}"/>
    <cellStyle name="Normal 2 2 2" xfId="560" xr:uid="{00000000-0005-0000-0000-000030020000}"/>
    <cellStyle name="Normal 2 2 20" xfId="561" xr:uid="{00000000-0005-0000-0000-000031020000}"/>
    <cellStyle name="Normal 2 2 21" xfId="562" xr:uid="{00000000-0005-0000-0000-000032020000}"/>
    <cellStyle name="Normal 2 2 21 10" xfId="563" xr:uid="{00000000-0005-0000-0000-000033020000}"/>
    <cellStyle name="Normal 2 2 21 11" xfId="564" xr:uid="{00000000-0005-0000-0000-000034020000}"/>
    <cellStyle name="Normal 2 2 21 12" xfId="565" xr:uid="{00000000-0005-0000-0000-000035020000}"/>
    <cellStyle name="Normal 2 2 21 13" xfId="566" xr:uid="{00000000-0005-0000-0000-000036020000}"/>
    <cellStyle name="Normal 2 2 21 2" xfId="567" xr:uid="{00000000-0005-0000-0000-000037020000}"/>
    <cellStyle name="Normal 2 2 21 3" xfId="568" xr:uid="{00000000-0005-0000-0000-000038020000}"/>
    <cellStyle name="Normal 2 2 21 4" xfId="569" xr:uid="{00000000-0005-0000-0000-000039020000}"/>
    <cellStyle name="Normal 2 2 21 5" xfId="570" xr:uid="{00000000-0005-0000-0000-00003A020000}"/>
    <cellStyle name="Normal 2 2 21 6" xfId="571" xr:uid="{00000000-0005-0000-0000-00003B020000}"/>
    <cellStyle name="Normal 2 2 21 7" xfId="572" xr:uid="{00000000-0005-0000-0000-00003C020000}"/>
    <cellStyle name="Normal 2 2 21 8" xfId="573" xr:uid="{00000000-0005-0000-0000-00003D020000}"/>
    <cellStyle name="Normal 2 2 21 9" xfId="574" xr:uid="{00000000-0005-0000-0000-00003E020000}"/>
    <cellStyle name="Normal 2 2 22" xfId="575" xr:uid="{00000000-0005-0000-0000-00003F020000}"/>
    <cellStyle name="Normal 2 2 23" xfId="576" xr:uid="{00000000-0005-0000-0000-000040020000}"/>
    <cellStyle name="Normal 2 2 24" xfId="577" xr:uid="{00000000-0005-0000-0000-000041020000}"/>
    <cellStyle name="Normal 2 2 25" xfId="578" xr:uid="{00000000-0005-0000-0000-000042020000}"/>
    <cellStyle name="Normal 2 2 26" xfId="579" xr:uid="{00000000-0005-0000-0000-000043020000}"/>
    <cellStyle name="Normal 2 2 27" xfId="580" xr:uid="{00000000-0005-0000-0000-000044020000}"/>
    <cellStyle name="Normal 2 2 27 2" xfId="581" xr:uid="{00000000-0005-0000-0000-000045020000}"/>
    <cellStyle name="Normal 2 2 27 3" xfId="582" xr:uid="{00000000-0005-0000-0000-000046020000}"/>
    <cellStyle name="Normal 2 2 27 4" xfId="583" xr:uid="{00000000-0005-0000-0000-000047020000}"/>
    <cellStyle name="Normal 2 2 27 5" xfId="584" xr:uid="{00000000-0005-0000-0000-000048020000}"/>
    <cellStyle name="Normal 2 2 28" xfId="585" xr:uid="{00000000-0005-0000-0000-000049020000}"/>
    <cellStyle name="Normal 2 2 28 2" xfId="586" xr:uid="{00000000-0005-0000-0000-00004A020000}"/>
    <cellStyle name="Normal 2 2 28 3" xfId="587" xr:uid="{00000000-0005-0000-0000-00004B020000}"/>
    <cellStyle name="Normal 2 2 28 4" xfId="588" xr:uid="{00000000-0005-0000-0000-00004C020000}"/>
    <cellStyle name="Normal 2 2 28 5" xfId="589" xr:uid="{00000000-0005-0000-0000-00004D020000}"/>
    <cellStyle name="Normal 2 2 29" xfId="590" xr:uid="{00000000-0005-0000-0000-00004E020000}"/>
    <cellStyle name="Normal 2 2 29 2" xfId="591" xr:uid="{00000000-0005-0000-0000-00004F020000}"/>
    <cellStyle name="Normal 2 2 29 3" xfId="592" xr:uid="{00000000-0005-0000-0000-000050020000}"/>
    <cellStyle name="Normal 2 2 29 4" xfId="593" xr:uid="{00000000-0005-0000-0000-000051020000}"/>
    <cellStyle name="Normal 2 2 29 5" xfId="594" xr:uid="{00000000-0005-0000-0000-000052020000}"/>
    <cellStyle name="Normal 2 2 3" xfId="595" xr:uid="{00000000-0005-0000-0000-000053020000}"/>
    <cellStyle name="Normal 2 2 30" xfId="596" xr:uid="{00000000-0005-0000-0000-000054020000}"/>
    <cellStyle name="Normal 2 2 30 2" xfId="597" xr:uid="{00000000-0005-0000-0000-000055020000}"/>
    <cellStyle name="Normal 2 2 30 3" xfId="598" xr:uid="{00000000-0005-0000-0000-000056020000}"/>
    <cellStyle name="Normal 2 2 30 4" xfId="599" xr:uid="{00000000-0005-0000-0000-000057020000}"/>
    <cellStyle name="Normal 2 2 30 5" xfId="600" xr:uid="{00000000-0005-0000-0000-000058020000}"/>
    <cellStyle name="Normal 2 2 31" xfId="601" xr:uid="{00000000-0005-0000-0000-000059020000}"/>
    <cellStyle name="Normal 2 2 31 2" xfId="602" xr:uid="{00000000-0005-0000-0000-00005A020000}"/>
    <cellStyle name="Normal 2 2 31 3" xfId="603" xr:uid="{00000000-0005-0000-0000-00005B020000}"/>
    <cellStyle name="Normal 2 2 31 4" xfId="604" xr:uid="{00000000-0005-0000-0000-00005C020000}"/>
    <cellStyle name="Normal 2 2 31 5" xfId="605" xr:uid="{00000000-0005-0000-0000-00005D020000}"/>
    <cellStyle name="Normal 2 2 32" xfId="606" xr:uid="{00000000-0005-0000-0000-00005E020000}"/>
    <cellStyle name="Normal 2 2 32 2" xfId="607" xr:uid="{00000000-0005-0000-0000-00005F020000}"/>
    <cellStyle name="Normal 2 2 32 3" xfId="608" xr:uid="{00000000-0005-0000-0000-000060020000}"/>
    <cellStyle name="Normal 2 2 32 4" xfId="609" xr:uid="{00000000-0005-0000-0000-000061020000}"/>
    <cellStyle name="Normal 2 2 32 5" xfId="610" xr:uid="{00000000-0005-0000-0000-000062020000}"/>
    <cellStyle name="Normal 2 2 33" xfId="611" xr:uid="{00000000-0005-0000-0000-000063020000}"/>
    <cellStyle name="Normal 2 2 4" xfId="612" xr:uid="{00000000-0005-0000-0000-000064020000}"/>
    <cellStyle name="Normal 2 2 5" xfId="613" xr:uid="{00000000-0005-0000-0000-000065020000}"/>
    <cellStyle name="Normal 2 2 6" xfId="614" xr:uid="{00000000-0005-0000-0000-000066020000}"/>
    <cellStyle name="Normal 2 2 7" xfId="615" xr:uid="{00000000-0005-0000-0000-000067020000}"/>
    <cellStyle name="Normal 2 2 8" xfId="616" xr:uid="{00000000-0005-0000-0000-000068020000}"/>
    <cellStyle name="Normal 2 2 9" xfId="617" xr:uid="{00000000-0005-0000-0000-000069020000}"/>
    <cellStyle name="Normal 2 20" xfId="618" xr:uid="{00000000-0005-0000-0000-00006A020000}"/>
    <cellStyle name="Normal 2 20 10" xfId="619" xr:uid="{00000000-0005-0000-0000-00006B020000}"/>
    <cellStyle name="Normal 2 20 11" xfId="620" xr:uid="{00000000-0005-0000-0000-00006C020000}"/>
    <cellStyle name="Normal 2 20 12" xfId="621" xr:uid="{00000000-0005-0000-0000-00006D020000}"/>
    <cellStyle name="Normal 2 20 13" xfId="622" xr:uid="{00000000-0005-0000-0000-00006E020000}"/>
    <cellStyle name="Normal 2 20 14" xfId="623" xr:uid="{00000000-0005-0000-0000-00006F020000}"/>
    <cellStyle name="Normal 2 20 15" xfId="624" xr:uid="{00000000-0005-0000-0000-000070020000}"/>
    <cellStyle name="Normal 2 20 16" xfId="625" xr:uid="{00000000-0005-0000-0000-000071020000}"/>
    <cellStyle name="Normal 2 20 17" xfId="626" xr:uid="{00000000-0005-0000-0000-000072020000}"/>
    <cellStyle name="Normal 2 20 18" xfId="627" xr:uid="{00000000-0005-0000-0000-000073020000}"/>
    <cellStyle name="Normal 2 20 19" xfId="628" xr:uid="{00000000-0005-0000-0000-000074020000}"/>
    <cellStyle name="Normal 2 20 2" xfId="629" xr:uid="{00000000-0005-0000-0000-000075020000}"/>
    <cellStyle name="Normal 2 20 20" xfId="630" xr:uid="{00000000-0005-0000-0000-000076020000}"/>
    <cellStyle name="Normal 2 20 21" xfId="631" xr:uid="{00000000-0005-0000-0000-000077020000}"/>
    <cellStyle name="Normal 2 20 3" xfId="632" xr:uid="{00000000-0005-0000-0000-000078020000}"/>
    <cellStyle name="Normal 2 20 4" xfId="633" xr:uid="{00000000-0005-0000-0000-000079020000}"/>
    <cellStyle name="Normal 2 20 5" xfId="634" xr:uid="{00000000-0005-0000-0000-00007A020000}"/>
    <cellStyle name="Normal 2 20 6" xfId="635" xr:uid="{00000000-0005-0000-0000-00007B020000}"/>
    <cellStyle name="Normal 2 20 7" xfId="636" xr:uid="{00000000-0005-0000-0000-00007C020000}"/>
    <cellStyle name="Normal 2 20 8" xfId="637" xr:uid="{00000000-0005-0000-0000-00007D020000}"/>
    <cellStyle name="Normal 2 20 9" xfId="638" xr:uid="{00000000-0005-0000-0000-00007E020000}"/>
    <cellStyle name="Normal 2 21" xfId="639" xr:uid="{00000000-0005-0000-0000-00007F020000}"/>
    <cellStyle name="Normal 2 21 10" xfId="640" xr:uid="{00000000-0005-0000-0000-000080020000}"/>
    <cellStyle name="Normal 2 21 11" xfId="641" xr:uid="{00000000-0005-0000-0000-000081020000}"/>
    <cellStyle name="Normal 2 21 12" xfId="642" xr:uid="{00000000-0005-0000-0000-000082020000}"/>
    <cellStyle name="Normal 2 21 13" xfId="643" xr:uid="{00000000-0005-0000-0000-000083020000}"/>
    <cellStyle name="Normal 2 21 14" xfId="644" xr:uid="{00000000-0005-0000-0000-000084020000}"/>
    <cellStyle name="Normal 2 21 15" xfId="645" xr:uid="{00000000-0005-0000-0000-000085020000}"/>
    <cellStyle name="Normal 2 21 16" xfId="646" xr:uid="{00000000-0005-0000-0000-000086020000}"/>
    <cellStyle name="Normal 2 21 17" xfId="647" xr:uid="{00000000-0005-0000-0000-000087020000}"/>
    <cellStyle name="Normal 2 21 18" xfId="648" xr:uid="{00000000-0005-0000-0000-000088020000}"/>
    <cellStyle name="Normal 2 21 19" xfId="649" xr:uid="{00000000-0005-0000-0000-000089020000}"/>
    <cellStyle name="Normal 2 21 2" xfId="650" xr:uid="{00000000-0005-0000-0000-00008A020000}"/>
    <cellStyle name="Normal 2 21 20" xfId="651" xr:uid="{00000000-0005-0000-0000-00008B020000}"/>
    <cellStyle name="Normal 2 21 21" xfId="652" xr:uid="{00000000-0005-0000-0000-00008C020000}"/>
    <cellStyle name="Normal 2 21 3" xfId="653" xr:uid="{00000000-0005-0000-0000-00008D020000}"/>
    <cellStyle name="Normal 2 21 4" xfId="654" xr:uid="{00000000-0005-0000-0000-00008E020000}"/>
    <cellStyle name="Normal 2 21 5" xfId="655" xr:uid="{00000000-0005-0000-0000-00008F020000}"/>
    <cellStyle name="Normal 2 21 6" xfId="656" xr:uid="{00000000-0005-0000-0000-000090020000}"/>
    <cellStyle name="Normal 2 21 7" xfId="657" xr:uid="{00000000-0005-0000-0000-000091020000}"/>
    <cellStyle name="Normal 2 21 8" xfId="658" xr:uid="{00000000-0005-0000-0000-000092020000}"/>
    <cellStyle name="Normal 2 21 9" xfId="659" xr:uid="{00000000-0005-0000-0000-000093020000}"/>
    <cellStyle name="Normal 2 22" xfId="660" xr:uid="{00000000-0005-0000-0000-000094020000}"/>
    <cellStyle name="Normal 2 22 2" xfId="661" xr:uid="{00000000-0005-0000-0000-000095020000}"/>
    <cellStyle name="Normal 2 22 3" xfId="662" xr:uid="{00000000-0005-0000-0000-000096020000}"/>
    <cellStyle name="Normal 2 22 4" xfId="663" xr:uid="{00000000-0005-0000-0000-000097020000}"/>
    <cellStyle name="Normal 2 22 5" xfId="664" xr:uid="{00000000-0005-0000-0000-000098020000}"/>
    <cellStyle name="Normal 2 23" xfId="665" xr:uid="{00000000-0005-0000-0000-000099020000}"/>
    <cellStyle name="Normal 2 23 2" xfId="666" xr:uid="{00000000-0005-0000-0000-00009A020000}"/>
    <cellStyle name="Normal 2 23 3" xfId="667" xr:uid="{00000000-0005-0000-0000-00009B020000}"/>
    <cellStyle name="Normal 2 23 4" xfId="668" xr:uid="{00000000-0005-0000-0000-00009C020000}"/>
    <cellStyle name="Normal 2 23 5" xfId="669" xr:uid="{00000000-0005-0000-0000-00009D020000}"/>
    <cellStyle name="Normal 2 24" xfId="670" xr:uid="{00000000-0005-0000-0000-00009E020000}"/>
    <cellStyle name="Normal 2 24 2" xfId="671" xr:uid="{00000000-0005-0000-0000-00009F020000}"/>
    <cellStyle name="Normal 2 24 3" xfId="672" xr:uid="{00000000-0005-0000-0000-0000A0020000}"/>
    <cellStyle name="Normal 2 24 4" xfId="673" xr:uid="{00000000-0005-0000-0000-0000A1020000}"/>
    <cellStyle name="Normal 2 24 5" xfId="674" xr:uid="{00000000-0005-0000-0000-0000A2020000}"/>
    <cellStyle name="Normal 2 25" xfId="675" xr:uid="{00000000-0005-0000-0000-0000A3020000}"/>
    <cellStyle name="Normal 2 25 2" xfId="676" xr:uid="{00000000-0005-0000-0000-0000A4020000}"/>
    <cellStyle name="Normal 2 25 3" xfId="677" xr:uid="{00000000-0005-0000-0000-0000A5020000}"/>
    <cellStyle name="Normal 2 25 4" xfId="678" xr:uid="{00000000-0005-0000-0000-0000A6020000}"/>
    <cellStyle name="Normal 2 25 5" xfId="679" xr:uid="{00000000-0005-0000-0000-0000A7020000}"/>
    <cellStyle name="Normal 2 26" xfId="680" xr:uid="{00000000-0005-0000-0000-0000A8020000}"/>
    <cellStyle name="Normal 2 26 2" xfId="681" xr:uid="{00000000-0005-0000-0000-0000A9020000}"/>
    <cellStyle name="Normal 2 26 2 10" xfId="682" xr:uid="{00000000-0005-0000-0000-0000AA020000}"/>
    <cellStyle name="Normal 2 26 2 11" xfId="683" xr:uid="{00000000-0005-0000-0000-0000AB020000}"/>
    <cellStyle name="Normal 2 26 2 12" xfId="684" xr:uid="{00000000-0005-0000-0000-0000AC020000}"/>
    <cellStyle name="Normal 2 26 2 13" xfId="685" xr:uid="{00000000-0005-0000-0000-0000AD020000}"/>
    <cellStyle name="Normal 2 26 2 2" xfId="686" xr:uid="{00000000-0005-0000-0000-0000AE020000}"/>
    <cellStyle name="Normal 2 26 2 2 2" xfId="687" xr:uid="{00000000-0005-0000-0000-0000AF020000}"/>
    <cellStyle name="Normal 2 26 2 2 3" xfId="688" xr:uid="{00000000-0005-0000-0000-0000B0020000}"/>
    <cellStyle name="Normal 2 26 2 2 4" xfId="689" xr:uid="{00000000-0005-0000-0000-0000B1020000}"/>
    <cellStyle name="Normal 2 26 2 2 5" xfId="690" xr:uid="{00000000-0005-0000-0000-0000B2020000}"/>
    <cellStyle name="Normal 2 26 2 3" xfId="691" xr:uid="{00000000-0005-0000-0000-0000B3020000}"/>
    <cellStyle name="Normal 2 26 2 3 2" xfId="692" xr:uid="{00000000-0005-0000-0000-0000B4020000}"/>
    <cellStyle name="Normal 2 26 2 3 3" xfId="693" xr:uid="{00000000-0005-0000-0000-0000B5020000}"/>
    <cellStyle name="Normal 2 26 2 3 4" xfId="694" xr:uid="{00000000-0005-0000-0000-0000B6020000}"/>
    <cellStyle name="Normal 2 26 2 3 5" xfId="695" xr:uid="{00000000-0005-0000-0000-0000B7020000}"/>
    <cellStyle name="Normal 2 26 2 4" xfId="696" xr:uid="{00000000-0005-0000-0000-0000B8020000}"/>
    <cellStyle name="Normal 2 26 2 4 2" xfId="697" xr:uid="{00000000-0005-0000-0000-0000B9020000}"/>
    <cellStyle name="Normal 2 26 2 4 3" xfId="698" xr:uid="{00000000-0005-0000-0000-0000BA020000}"/>
    <cellStyle name="Normal 2 26 2 4 4" xfId="699" xr:uid="{00000000-0005-0000-0000-0000BB020000}"/>
    <cellStyle name="Normal 2 26 2 4 5" xfId="700" xr:uid="{00000000-0005-0000-0000-0000BC020000}"/>
    <cellStyle name="Normal 2 26 2 5" xfId="701" xr:uid="{00000000-0005-0000-0000-0000BD020000}"/>
    <cellStyle name="Normal 2 26 2 5 2" xfId="702" xr:uid="{00000000-0005-0000-0000-0000BE020000}"/>
    <cellStyle name="Normal 2 26 2 5 3" xfId="703" xr:uid="{00000000-0005-0000-0000-0000BF020000}"/>
    <cellStyle name="Normal 2 26 2 5 4" xfId="704" xr:uid="{00000000-0005-0000-0000-0000C0020000}"/>
    <cellStyle name="Normal 2 26 2 5 5" xfId="705" xr:uid="{00000000-0005-0000-0000-0000C1020000}"/>
    <cellStyle name="Normal 2 26 2 6" xfId="706" xr:uid="{00000000-0005-0000-0000-0000C2020000}"/>
    <cellStyle name="Normal 2 26 2 6 2" xfId="707" xr:uid="{00000000-0005-0000-0000-0000C3020000}"/>
    <cellStyle name="Normal 2 26 2 6 3" xfId="708" xr:uid="{00000000-0005-0000-0000-0000C4020000}"/>
    <cellStyle name="Normal 2 26 2 6 4" xfId="709" xr:uid="{00000000-0005-0000-0000-0000C5020000}"/>
    <cellStyle name="Normal 2 26 2 6 5" xfId="710" xr:uid="{00000000-0005-0000-0000-0000C6020000}"/>
    <cellStyle name="Normal 2 26 2 7" xfId="711" xr:uid="{00000000-0005-0000-0000-0000C7020000}"/>
    <cellStyle name="Normal 2 26 2 7 2" xfId="712" xr:uid="{00000000-0005-0000-0000-0000C8020000}"/>
    <cellStyle name="Normal 2 26 2 7 3" xfId="713" xr:uid="{00000000-0005-0000-0000-0000C9020000}"/>
    <cellStyle name="Normal 2 26 2 7 4" xfId="714" xr:uid="{00000000-0005-0000-0000-0000CA020000}"/>
    <cellStyle name="Normal 2 26 2 7 5" xfId="715" xr:uid="{00000000-0005-0000-0000-0000CB020000}"/>
    <cellStyle name="Normal 2 26 2 8" xfId="716" xr:uid="{00000000-0005-0000-0000-0000CC020000}"/>
    <cellStyle name="Normal 2 26 2 8 2" xfId="717" xr:uid="{00000000-0005-0000-0000-0000CD020000}"/>
    <cellStyle name="Normal 2 26 2 8 3" xfId="718" xr:uid="{00000000-0005-0000-0000-0000CE020000}"/>
    <cellStyle name="Normal 2 26 2 8 4" xfId="719" xr:uid="{00000000-0005-0000-0000-0000CF020000}"/>
    <cellStyle name="Normal 2 26 2 8 5" xfId="720" xr:uid="{00000000-0005-0000-0000-0000D0020000}"/>
    <cellStyle name="Normal 2 26 2 9" xfId="721" xr:uid="{00000000-0005-0000-0000-0000D1020000}"/>
    <cellStyle name="Normal 2 26 3" xfId="722" xr:uid="{00000000-0005-0000-0000-0000D2020000}"/>
    <cellStyle name="Normal 2 26 4" xfId="723" xr:uid="{00000000-0005-0000-0000-0000D3020000}"/>
    <cellStyle name="Normal 2 26 5" xfId="724" xr:uid="{00000000-0005-0000-0000-0000D4020000}"/>
    <cellStyle name="Normal 2 27" xfId="725" xr:uid="{00000000-0005-0000-0000-0000D5020000}"/>
    <cellStyle name="Normal 2 27 10" xfId="726" xr:uid="{00000000-0005-0000-0000-0000D6020000}"/>
    <cellStyle name="Normal 2 27 11" xfId="727" xr:uid="{00000000-0005-0000-0000-0000D7020000}"/>
    <cellStyle name="Normal 2 27 12" xfId="728" xr:uid="{00000000-0005-0000-0000-0000D8020000}"/>
    <cellStyle name="Normal 2 27 13" xfId="729" xr:uid="{00000000-0005-0000-0000-0000D9020000}"/>
    <cellStyle name="Normal 2 27 14" xfId="730" xr:uid="{00000000-0005-0000-0000-0000DA020000}"/>
    <cellStyle name="Normal 2 27 15" xfId="731" xr:uid="{00000000-0005-0000-0000-0000DB020000}"/>
    <cellStyle name="Normal 2 27 2" xfId="732" xr:uid="{00000000-0005-0000-0000-0000DC020000}"/>
    <cellStyle name="Normal 2 27 2 2" xfId="733" xr:uid="{00000000-0005-0000-0000-0000DD020000}"/>
    <cellStyle name="Normal 2 27 2 3" xfId="734" xr:uid="{00000000-0005-0000-0000-0000DE020000}"/>
    <cellStyle name="Normal 2 27 2 4" xfId="735" xr:uid="{00000000-0005-0000-0000-0000DF020000}"/>
    <cellStyle name="Normal 2 27 2 5" xfId="736" xr:uid="{00000000-0005-0000-0000-0000E0020000}"/>
    <cellStyle name="Normal 2 27 2 6" xfId="737" xr:uid="{00000000-0005-0000-0000-0000E1020000}"/>
    <cellStyle name="Normal 2 27 3" xfId="738" xr:uid="{00000000-0005-0000-0000-0000E2020000}"/>
    <cellStyle name="Normal 2 27 3 2" xfId="739" xr:uid="{00000000-0005-0000-0000-0000E3020000}"/>
    <cellStyle name="Normal 2 27 3 3" xfId="740" xr:uid="{00000000-0005-0000-0000-0000E4020000}"/>
    <cellStyle name="Normal 2 27 3 4" xfId="741" xr:uid="{00000000-0005-0000-0000-0000E5020000}"/>
    <cellStyle name="Normal 2 27 3 5" xfId="742" xr:uid="{00000000-0005-0000-0000-0000E6020000}"/>
    <cellStyle name="Normal 2 27 4" xfId="743" xr:uid="{00000000-0005-0000-0000-0000E7020000}"/>
    <cellStyle name="Normal 2 27 4 2" xfId="744" xr:uid="{00000000-0005-0000-0000-0000E8020000}"/>
    <cellStyle name="Normal 2 27 4 3" xfId="745" xr:uid="{00000000-0005-0000-0000-0000E9020000}"/>
    <cellStyle name="Normal 2 27 4 4" xfId="746" xr:uid="{00000000-0005-0000-0000-0000EA020000}"/>
    <cellStyle name="Normal 2 27 4 5" xfId="747" xr:uid="{00000000-0005-0000-0000-0000EB020000}"/>
    <cellStyle name="Normal 2 27 5" xfId="748" xr:uid="{00000000-0005-0000-0000-0000EC020000}"/>
    <cellStyle name="Normal 2 27 5 2" xfId="749" xr:uid="{00000000-0005-0000-0000-0000ED020000}"/>
    <cellStyle name="Normal 2 27 5 3" xfId="750" xr:uid="{00000000-0005-0000-0000-0000EE020000}"/>
    <cellStyle name="Normal 2 27 5 4" xfId="751" xr:uid="{00000000-0005-0000-0000-0000EF020000}"/>
    <cellStyle name="Normal 2 27 5 5" xfId="752" xr:uid="{00000000-0005-0000-0000-0000F0020000}"/>
    <cellStyle name="Normal 2 27 6" xfId="753" xr:uid="{00000000-0005-0000-0000-0000F1020000}"/>
    <cellStyle name="Normal 2 27 6 2" xfId="754" xr:uid="{00000000-0005-0000-0000-0000F2020000}"/>
    <cellStyle name="Normal 2 27 6 3" xfId="755" xr:uid="{00000000-0005-0000-0000-0000F3020000}"/>
    <cellStyle name="Normal 2 27 6 4" xfId="756" xr:uid="{00000000-0005-0000-0000-0000F4020000}"/>
    <cellStyle name="Normal 2 27 6 5" xfId="757" xr:uid="{00000000-0005-0000-0000-0000F5020000}"/>
    <cellStyle name="Normal 2 27 7" xfId="758" xr:uid="{00000000-0005-0000-0000-0000F6020000}"/>
    <cellStyle name="Normal 2 27 7 2" xfId="759" xr:uid="{00000000-0005-0000-0000-0000F7020000}"/>
    <cellStyle name="Normal 2 27 7 3" xfId="760" xr:uid="{00000000-0005-0000-0000-0000F8020000}"/>
    <cellStyle name="Normal 2 27 7 4" xfId="761" xr:uid="{00000000-0005-0000-0000-0000F9020000}"/>
    <cellStyle name="Normal 2 27 7 5" xfId="762" xr:uid="{00000000-0005-0000-0000-0000FA020000}"/>
    <cellStyle name="Normal 2 27 8" xfId="763" xr:uid="{00000000-0005-0000-0000-0000FB020000}"/>
    <cellStyle name="Normal 2 27 8 2" xfId="764" xr:uid="{00000000-0005-0000-0000-0000FC020000}"/>
    <cellStyle name="Normal 2 27 8 3" xfId="765" xr:uid="{00000000-0005-0000-0000-0000FD020000}"/>
    <cellStyle name="Normal 2 27 8 4" xfId="766" xr:uid="{00000000-0005-0000-0000-0000FE020000}"/>
    <cellStyle name="Normal 2 27 8 5" xfId="767" xr:uid="{00000000-0005-0000-0000-0000FF020000}"/>
    <cellStyle name="Normal 2 27 9" xfId="768" xr:uid="{00000000-0005-0000-0000-000000030000}"/>
    <cellStyle name="Normal 2 28" xfId="769" xr:uid="{00000000-0005-0000-0000-000001030000}"/>
    <cellStyle name="Normal 2 28 10" xfId="770" xr:uid="{00000000-0005-0000-0000-000002030000}"/>
    <cellStyle name="Normal 2 28 11" xfId="771" xr:uid="{00000000-0005-0000-0000-000003030000}"/>
    <cellStyle name="Normal 2 28 12" xfId="772" xr:uid="{00000000-0005-0000-0000-000004030000}"/>
    <cellStyle name="Normal 2 28 13" xfId="773" xr:uid="{00000000-0005-0000-0000-000005030000}"/>
    <cellStyle name="Normal 2 28 14" xfId="774" xr:uid="{00000000-0005-0000-0000-000006030000}"/>
    <cellStyle name="Normal 2 28 2" xfId="775" xr:uid="{00000000-0005-0000-0000-000007030000}"/>
    <cellStyle name="Normal 2 28 2 2" xfId="776" xr:uid="{00000000-0005-0000-0000-000008030000}"/>
    <cellStyle name="Normal 2 28 2 3" xfId="777" xr:uid="{00000000-0005-0000-0000-000009030000}"/>
    <cellStyle name="Normal 2 28 2 4" xfId="778" xr:uid="{00000000-0005-0000-0000-00000A030000}"/>
    <cellStyle name="Normal 2 28 2 5" xfId="779" xr:uid="{00000000-0005-0000-0000-00000B030000}"/>
    <cellStyle name="Normal 2 28 2 6" xfId="780" xr:uid="{00000000-0005-0000-0000-00000C030000}"/>
    <cellStyle name="Normal 2 28 3" xfId="781" xr:uid="{00000000-0005-0000-0000-00000D030000}"/>
    <cellStyle name="Normal 2 28 3 2" xfId="782" xr:uid="{00000000-0005-0000-0000-00000E030000}"/>
    <cellStyle name="Normal 2 28 3 3" xfId="783" xr:uid="{00000000-0005-0000-0000-00000F030000}"/>
    <cellStyle name="Normal 2 28 3 4" xfId="784" xr:uid="{00000000-0005-0000-0000-000010030000}"/>
    <cellStyle name="Normal 2 28 3 5" xfId="785" xr:uid="{00000000-0005-0000-0000-000011030000}"/>
    <cellStyle name="Normal 2 28 3 6" xfId="786" xr:uid="{00000000-0005-0000-0000-000012030000}"/>
    <cellStyle name="Normal 2 28 4" xfId="787" xr:uid="{00000000-0005-0000-0000-000013030000}"/>
    <cellStyle name="Normal 2 28 4 2" xfId="788" xr:uid="{00000000-0005-0000-0000-000014030000}"/>
    <cellStyle name="Normal 2 28 4 3" xfId="789" xr:uid="{00000000-0005-0000-0000-000015030000}"/>
    <cellStyle name="Normal 2 28 4 4" xfId="790" xr:uid="{00000000-0005-0000-0000-000016030000}"/>
    <cellStyle name="Normal 2 28 4 5" xfId="791" xr:uid="{00000000-0005-0000-0000-000017030000}"/>
    <cellStyle name="Normal 2 28 5" xfId="792" xr:uid="{00000000-0005-0000-0000-000018030000}"/>
    <cellStyle name="Normal 2 28 5 2" xfId="793" xr:uid="{00000000-0005-0000-0000-000019030000}"/>
    <cellStyle name="Normal 2 28 5 3" xfId="794" xr:uid="{00000000-0005-0000-0000-00001A030000}"/>
    <cellStyle name="Normal 2 28 5 4" xfId="795" xr:uid="{00000000-0005-0000-0000-00001B030000}"/>
    <cellStyle name="Normal 2 28 5 5" xfId="796" xr:uid="{00000000-0005-0000-0000-00001C030000}"/>
    <cellStyle name="Normal 2 28 6" xfId="797" xr:uid="{00000000-0005-0000-0000-00001D030000}"/>
    <cellStyle name="Normal 2 28 6 2" xfId="798" xr:uid="{00000000-0005-0000-0000-00001E030000}"/>
    <cellStyle name="Normal 2 28 6 3" xfId="799" xr:uid="{00000000-0005-0000-0000-00001F030000}"/>
    <cellStyle name="Normal 2 28 6 4" xfId="800" xr:uid="{00000000-0005-0000-0000-000020030000}"/>
    <cellStyle name="Normal 2 28 6 5" xfId="801" xr:uid="{00000000-0005-0000-0000-000021030000}"/>
    <cellStyle name="Normal 2 28 7" xfId="802" xr:uid="{00000000-0005-0000-0000-000022030000}"/>
    <cellStyle name="Normal 2 28 7 2" xfId="803" xr:uid="{00000000-0005-0000-0000-000023030000}"/>
    <cellStyle name="Normal 2 28 7 3" xfId="804" xr:uid="{00000000-0005-0000-0000-000024030000}"/>
    <cellStyle name="Normal 2 28 7 4" xfId="805" xr:uid="{00000000-0005-0000-0000-000025030000}"/>
    <cellStyle name="Normal 2 28 7 5" xfId="806" xr:uid="{00000000-0005-0000-0000-000026030000}"/>
    <cellStyle name="Normal 2 28 8" xfId="807" xr:uid="{00000000-0005-0000-0000-000027030000}"/>
    <cellStyle name="Normal 2 28 8 2" xfId="808" xr:uid="{00000000-0005-0000-0000-000028030000}"/>
    <cellStyle name="Normal 2 28 8 3" xfId="809" xr:uid="{00000000-0005-0000-0000-000029030000}"/>
    <cellStyle name="Normal 2 28 8 4" xfId="810" xr:uid="{00000000-0005-0000-0000-00002A030000}"/>
    <cellStyle name="Normal 2 28 8 5" xfId="811" xr:uid="{00000000-0005-0000-0000-00002B030000}"/>
    <cellStyle name="Normal 2 28 9" xfId="812" xr:uid="{00000000-0005-0000-0000-00002C030000}"/>
    <cellStyle name="Normal 2 29" xfId="813" xr:uid="{00000000-0005-0000-0000-00002D030000}"/>
    <cellStyle name="Normal 2 29 2" xfId="814" xr:uid="{00000000-0005-0000-0000-00002E030000}"/>
    <cellStyle name="Normal 2 29 2 2" xfId="815" xr:uid="{00000000-0005-0000-0000-00002F030000}"/>
    <cellStyle name="Normal 2 29 2 3" xfId="816" xr:uid="{00000000-0005-0000-0000-000030030000}"/>
    <cellStyle name="Normal 2 29 3" xfId="817" xr:uid="{00000000-0005-0000-0000-000031030000}"/>
    <cellStyle name="Normal 2 29 4" xfId="818" xr:uid="{00000000-0005-0000-0000-000032030000}"/>
    <cellStyle name="Normal 2 29 5" xfId="819" xr:uid="{00000000-0005-0000-0000-000033030000}"/>
    <cellStyle name="Normal 2 29 6" xfId="820" xr:uid="{00000000-0005-0000-0000-000034030000}"/>
    <cellStyle name="Normal 2 29 7" xfId="821" xr:uid="{00000000-0005-0000-0000-000035030000}"/>
    <cellStyle name="Normal 2 29 8" xfId="822" xr:uid="{00000000-0005-0000-0000-000036030000}"/>
    <cellStyle name="Normal 2 3" xfId="823" xr:uid="{00000000-0005-0000-0000-000037030000}"/>
    <cellStyle name="Normal 2 3 10" xfId="824" xr:uid="{00000000-0005-0000-0000-000038030000}"/>
    <cellStyle name="Normal 2 3 11" xfId="825" xr:uid="{00000000-0005-0000-0000-000039030000}"/>
    <cellStyle name="Normal 2 3 12" xfId="826" xr:uid="{00000000-0005-0000-0000-00003A030000}"/>
    <cellStyle name="Normal 2 3 13" xfId="827" xr:uid="{00000000-0005-0000-0000-00003B030000}"/>
    <cellStyle name="Normal 2 3 14" xfId="828" xr:uid="{00000000-0005-0000-0000-00003C030000}"/>
    <cellStyle name="Normal 2 3 15" xfId="829" xr:uid="{00000000-0005-0000-0000-00003D030000}"/>
    <cellStyle name="Normal 2 3 15 2" xfId="830" xr:uid="{00000000-0005-0000-0000-00003E030000}"/>
    <cellStyle name="Normal 2 3 16" xfId="831" xr:uid="{00000000-0005-0000-0000-00003F030000}"/>
    <cellStyle name="Normal 2 3 17" xfId="832" xr:uid="{00000000-0005-0000-0000-000040030000}"/>
    <cellStyle name="Normal 2 3 18" xfId="833" xr:uid="{00000000-0005-0000-0000-000041030000}"/>
    <cellStyle name="Normal 2 3 19" xfId="834" xr:uid="{00000000-0005-0000-0000-000042030000}"/>
    <cellStyle name="Normal 2 3 2" xfId="835" xr:uid="{00000000-0005-0000-0000-000043030000}"/>
    <cellStyle name="Normal 2 3 20" xfId="836" xr:uid="{00000000-0005-0000-0000-000044030000}"/>
    <cellStyle name="Normal 2 3 21" xfId="837" xr:uid="{00000000-0005-0000-0000-000045030000}"/>
    <cellStyle name="Normal 2 3 3" xfId="838" xr:uid="{00000000-0005-0000-0000-000046030000}"/>
    <cellStyle name="Normal 2 3 4" xfId="839" xr:uid="{00000000-0005-0000-0000-000047030000}"/>
    <cellStyle name="Normal 2 3 5" xfId="840" xr:uid="{00000000-0005-0000-0000-000048030000}"/>
    <cellStyle name="Normal 2 3 6" xfId="841" xr:uid="{00000000-0005-0000-0000-000049030000}"/>
    <cellStyle name="Normal 2 3 7" xfId="842" xr:uid="{00000000-0005-0000-0000-00004A030000}"/>
    <cellStyle name="Normal 2 3 8" xfId="843" xr:uid="{00000000-0005-0000-0000-00004B030000}"/>
    <cellStyle name="Normal 2 3 9" xfId="844" xr:uid="{00000000-0005-0000-0000-00004C030000}"/>
    <cellStyle name="Normal 2 30" xfId="845" xr:uid="{00000000-0005-0000-0000-00004D030000}"/>
    <cellStyle name="Normal 2 30 2" xfId="846" xr:uid="{00000000-0005-0000-0000-00004E030000}"/>
    <cellStyle name="Normal 2 30 2 2" xfId="847" xr:uid="{00000000-0005-0000-0000-00004F030000}"/>
    <cellStyle name="Normal 2 30 2 3" xfId="848" xr:uid="{00000000-0005-0000-0000-000050030000}"/>
    <cellStyle name="Normal 2 30 3" xfId="849" xr:uid="{00000000-0005-0000-0000-000051030000}"/>
    <cellStyle name="Normal 2 30 4" xfId="850" xr:uid="{00000000-0005-0000-0000-000052030000}"/>
    <cellStyle name="Normal 2 30 5" xfId="851" xr:uid="{00000000-0005-0000-0000-000053030000}"/>
    <cellStyle name="Normal 2 30 6" xfId="852" xr:uid="{00000000-0005-0000-0000-000054030000}"/>
    <cellStyle name="Normal 2 30 7" xfId="853" xr:uid="{00000000-0005-0000-0000-000055030000}"/>
    <cellStyle name="Normal 2 30 8" xfId="854" xr:uid="{00000000-0005-0000-0000-000056030000}"/>
    <cellStyle name="Normal 2 31" xfId="855" xr:uid="{00000000-0005-0000-0000-000057030000}"/>
    <cellStyle name="Normal 2 31 2" xfId="856" xr:uid="{00000000-0005-0000-0000-000058030000}"/>
    <cellStyle name="Normal 2 31 3" xfId="857" xr:uid="{00000000-0005-0000-0000-000059030000}"/>
    <cellStyle name="Normal 2 31 4" xfId="858" xr:uid="{00000000-0005-0000-0000-00005A030000}"/>
    <cellStyle name="Normal 2 31 5" xfId="859" xr:uid="{00000000-0005-0000-0000-00005B030000}"/>
    <cellStyle name="Normal 2 31 6" xfId="860" xr:uid="{00000000-0005-0000-0000-00005C030000}"/>
    <cellStyle name="Normal 2 32" xfId="861" xr:uid="{00000000-0005-0000-0000-00005D030000}"/>
    <cellStyle name="Normal 2 32 2" xfId="862" xr:uid="{00000000-0005-0000-0000-00005E030000}"/>
    <cellStyle name="Normal 2 32 3" xfId="863" xr:uid="{00000000-0005-0000-0000-00005F030000}"/>
    <cellStyle name="Normal 2 32 4" xfId="864" xr:uid="{00000000-0005-0000-0000-000060030000}"/>
    <cellStyle name="Normal 2 32 5" xfId="865" xr:uid="{00000000-0005-0000-0000-000061030000}"/>
    <cellStyle name="Normal 2 32 6" xfId="866" xr:uid="{00000000-0005-0000-0000-000062030000}"/>
    <cellStyle name="Normal 2 32 7" xfId="867" xr:uid="{00000000-0005-0000-0000-000063030000}"/>
    <cellStyle name="Normal 2 33" xfId="868" xr:uid="{00000000-0005-0000-0000-000064030000}"/>
    <cellStyle name="Normal 2 33 2" xfId="869" xr:uid="{00000000-0005-0000-0000-000065030000}"/>
    <cellStyle name="Normal 2 33 3" xfId="870" xr:uid="{00000000-0005-0000-0000-000066030000}"/>
    <cellStyle name="Normal 2 33 4" xfId="871" xr:uid="{00000000-0005-0000-0000-000067030000}"/>
    <cellStyle name="Normal 2 33 5" xfId="872" xr:uid="{00000000-0005-0000-0000-000068030000}"/>
    <cellStyle name="Normal 2 33 6" xfId="873" xr:uid="{00000000-0005-0000-0000-000069030000}"/>
    <cellStyle name="Normal 2 33 7" xfId="874" xr:uid="{00000000-0005-0000-0000-00006A030000}"/>
    <cellStyle name="Normal 2 34" xfId="875" xr:uid="{00000000-0005-0000-0000-00006B030000}"/>
    <cellStyle name="Normal 2 34 2" xfId="876" xr:uid="{00000000-0005-0000-0000-00006C030000}"/>
    <cellStyle name="Normal 2 34 3" xfId="877" xr:uid="{00000000-0005-0000-0000-00006D030000}"/>
    <cellStyle name="Normal 2 34 4" xfId="878" xr:uid="{00000000-0005-0000-0000-00006E030000}"/>
    <cellStyle name="Normal 2 34 5" xfId="879" xr:uid="{00000000-0005-0000-0000-00006F030000}"/>
    <cellStyle name="Normal 2 35" xfId="880" xr:uid="{00000000-0005-0000-0000-000070030000}"/>
    <cellStyle name="Normal 2 35 2" xfId="881" xr:uid="{00000000-0005-0000-0000-000071030000}"/>
    <cellStyle name="Normal 2 35 3" xfId="882" xr:uid="{00000000-0005-0000-0000-000072030000}"/>
    <cellStyle name="Normal 2 35 4" xfId="883" xr:uid="{00000000-0005-0000-0000-000073030000}"/>
    <cellStyle name="Normal 2 35 5" xfId="884" xr:uid="{00000000-0005-0000-0000-000074030000}"/>
    <cellStyle name="Normal 2 36" xfId="885" xr:uid="{00000000-0005-0000-0000-000075030000}"/>
    <cellStyle name="Normal 2 36 2" xfId="886" xr:uid="{00000000-0005-0000-0000-000076030000}"/>
    <cellStyle name="Normal 2 36 3" xfId="887" xr:uid="{00000000-0005-0000-0000-000077030000}"/>
    <cellStyle name="Normal 2 36 4" xfId="888" xr:uid="{00000000-0005-0000-0000-000078030000}"/>
    <cellStyle name="Normal 2 36 5" xfId="889" xr:uid="{00000000-0005-0000-0000-000079030000}"/>
    <cellStyle name="Normal 2 37" xfId="890" xr:uid="{00000000-0005-0000-0000-00007A030000}"/>
    <cellStyle name="Normal 2 37 2" xfId="891" xr:uid="{00000000-0005-0000-0000-00007B030000}"/>
    <cellStyle name="Normal 2 37 3" xfId="892" xr:uid="{00000000-0005-0000-0000-00007C030000}"/>
    <cellStyle name="Normal 2 37 4" xfId="893" xr:uid="{00000000-0005-0000-0000-00007D030000}"/>
    <cellStyle name="Normal 2 37 5" xfId="894" xr:uid="{00000000-0005-0000-0000-00007E030000}"/>
    <cellStyle name="Normal 2 38" xfId="895" xr:uid="{00000000-0005-0000-0000-00007F030000}"/>
    <cellStyle name="Normal 2 38 2" xfId="896" xr:uid="{00000000-0005-0000-0000-000080030000}"/>
    <cellStyle name="Normal 2 38 3" xfId="897" xr:uid="{00000000-0005-0000-0000-000081030000}"/>
    <cellStyle name="Normal 2 38 4" xfId="898" xr:uid="{00000000-0005-0000-0000-000082030000}"/>
    <cellStyle name="Normal 2 38 5" xfId="899" xr:uid="{00000000-0005-0000-0000-000083030000}"/>
    <cellStyle name="Normal 2 39" xfId="900" xr:uid="{00000000-0005-0000-0000-000084030000}"/>
    <cellStyle name="Normal 2 39 2" xfId="901" xr:uid="{00000000-0005-0000-0000-000085030000}"/>
    <cellStyle name="Normal 2 39 3" xfId="902" xr:uid="{00000000-0005-0000-0000-000086030000}"/>
    <cellStyle name="Normal 2 39 4" xfId="903" xr:uid="{00000000-0005-0000-0000-000087030000}"/>
    <cellStyle name="Normal 2 39 5" xfId="904" xr:uid="{00000000-0005-0000-0000-000088030000}"/>
    <cellStyle name="Normal 2 4" xfId="905" xr:uid="{00000000-0005-0000-0000-000089030000}"/>
    <cellStyle name="Normal 2 4 10" xfId="906" xr:uid="{00000000-0005-0000-0000-00008A030000}"/>
    <cellStyle name="Normal 2 4 11" xfId="907" xr:uid="{00000000-0005-0000-0000-00008B030000}"/>
    <cellStyle name="Normal 2 4 12" xfId="908" xr:uid="{00000000-0005-0000-0000-00008C030000}"/>
    <cellStyle name="Normal 2 4 13" xfId="909" xr:uid="{00000000-0005-0000-0000-00008D030000}"/>
    <cellStyle name="Normal 2 4 14" xfId="910" xr:uid="{00000000-0005-0000-0000-00008E030000}"/>
    <cellStyle name="Normal 2 4 15" xfId="911" xr:uid="{00000000-0005-0000-0000-00008F030000}"/>
    <cellStyle name="Normal 2 4 15 2" xfId="912" xr:uid="{00000000-0005-0000-0000-000090030000}"/>
    <cellStyle name="Normal 2 4 16" xfId="913" xr:uid="{00000000-0005-0000-0000-000091030000}"/>
    <cellStyle name="Normal 2 4 17" xfId="914" xr:uid="{00000000-0005-0000-0000-000092030000}"/>
    <cellStyle name="Normal 2 4 18" xfId="915" xr:uid="{00000000-0005-0000-0000-000093030000}"/>
    <cellStyle name="Normal 2 4 19" xfId="916" xr:uid="{00000000-0005-0000-0000-000094030000}"/>
    <cellStyle name="Normal 2 4 2" xfId="917" xr:uid="{00000000-0005-0000-0000-000095030000}"/>
    <cellStyle name="Normal 2 4 20" xfId="918" xr:uid="{00000000-0005-0000-0000-000096030000}"/>
    <cellStyle name="Normal 2 4 21" xfId="919" xr:uid="{00000000-0005-0000-0000-000097030000}"/>
    <cellStyle name="Normal 2 4 3" xfId="920" xr:uid="{00000000-0005-0000-0000-000098030000}"/>
    <cellStyle name="Normal 2 4 4" xfId="921" xr:uid="{00000000-0005-0000-0000-000099030000}"/>
    <cellStyle name="Normal 2 4 5" xfId="922" xr:uid="{00000000-0005-0000-0000-00009A030000}"/>
    <cellStyle name="Normal 2 4 6" xfId="923" xr:uid="{00000000-0005-0000-0000-00009B030000}"/>
    <cellStyle name="Normal 2 4 7" xfId="924" xr:uid="{00000000-0005-0000-0000-00009C030000}"/>
    <cellStyle name="Normal 2 4 8" xfId="925" xr:uid="{00000000-0005-0000-0000-00009D030000}"/>
    <cellStyle name="Normal 2 4 9" xfId="926" xr:uid="{00000000-0005-0000-0000-00009E030000}"/>
    <cellStyle name="Normal 2 40" xfId="927" xr:uid="{00000000-0005-0000-0000-00009F030000}"/>
    <cellStyle name="Normal 2 40 2" xfId="928" xr:uid="{00000000-0005-0000-0000-0000A0030000}"/>
    <cellStyle name="Normal 2 40 3" xfId="929" xr:uid="{00000000-0005-0000-0000-0000A1030000}"/>
    <cellStyle name="Normal 2 41" xfId="930" xr:uid="{00000000-0005-0000-0000-0000A2030000}"/>
    <cellStyle name="Normal 2 41 2" xfId="931" xr:uid="{00000000-0005-0000-0000-0000A3030000}"/>
    <cellStyle name="Normal 2 41 3" xfId="932" xr:uid="{00000000-0005-0000-0000-0000A4030000}"/>
    <cellStyle name="Normal 2 42" xfId="933" xr:uid="{00000000-0005-0000-0000-0000A5030000}"/>
    <cellStyle name="Normal 2 42 10" xfId="934" xr:uid="{00000000-0005-0000-0000-0000A6030000}"/>
    <cellStyle name="Normal 2 42 11" xfId="935" xr:uid="{00000000-0005-0000-0000-0000A7030000}"/>
    <cellStyle name="Normal 2 42 12" xfId="936" xr:uid="{00000000-0005-0000-0000-0000A8030000}"/>
    <cellStyle name="Normal 2 42 2" xfId="937" xr:uid="{00000000-0005-0000-0000-0000A9030000}"/>
    <cellStyle name="Normal 2 42 3" xfId="938" xr:uid="{00000000-0005-0000-0000-0000AA030000}"/>
    <cellStyle name="Normal 2 42 4" xfId="939" xr:uid="{00000000-0005-0000-0000-0000AB030000}"/>
    <cellStyle name="Normal 2 42 5" xfId="940" xr:uid="{00000000-0005-0000-0000-0000AC030000}"/>
    <cellStyle name="Normal 2 42 6" xfId="941" xr:uid="{00000000-0005-0000-0000-0000AD030000}"/>
    <cellStyle name="Normal 2 42 7" xfId="942" xr:uid="{00000000-0005-0000-0000-0000AE030000}"/>
    <cellStyle name="Normal 2 42 8" xfId="943" xr:uid="{00000000-0005-0000-0000-0000AF030000}"/>
    <cellStyle name="Normal 2 42 9" xfId="944" xr:uid="{00000000-0005-0000-0000-0000B0030000}"/>
    <cellStyle name="Normal 2 43" xfId="945" xr:uid="{00000000-0005-0000-0000-0000B1030000}"/>
    <cellStyle name="Normal 2 43 2" xfId="946" xr:uid="{00000000-0005-0000-0000-0000B2030000}"/>
    <cellStyle name="Normal 2 43 3" xfId="947" xr:uid="{00000000-0005-0000-0000-0000B3030000}"/>
    <cellStyle name="Normal 2 44" xfId="948" xr:uid="{00000000-0005-0000-0000-0000B4030000}"/>
    <cellStyle name="Normal 2 44 2" xfId="949" xr:uid="{00000000-0005-0000-0000-0000B5030000}"/>
    <cellStyle name="Normal 2 44 3" xfId="950" xr:uid="{00000000-0005-0000-0000-0000B6030000}"/>
    <cellStyle name="Normal 2 45" xfId="951" xr:uid="{00000000-0005-0000-0000-0000B7030000}"/>
    <cellStyle name="Normal 2 45 2" xfId="952" xr:uid="{00000000-0005-0000-0000-0000B8030000}"/>
    <cellStyle name="Normal 2 46" xfId="953" xr:uid="{00000000-0005-0000-0000-0000B9030000}"/>
    <cellStyle name="Normal 2 47" xfId="954" xr:uid="{00000000-0005-0000-0000-0000BA030000}"/>
    <cellStyle name="Normal 2 47 2" xfId="955" xr:uid="{00000000-0005-0000-0000-0000BB030000}"/>
    <cellStyle name="Normal 2 47 3" xfId="956" xr:uid="{00000000-0005-0000-0000-0000BC030000}"/>
    <cellStyle name="Normal 2 48" xfId="957" xr:uid="{00000000-0005-0000-0000-0000BD030000}"/>
    <cellStyle name="Normal 2 48 2" xfId="958" xr:uid="{00000000-0005-0000-0000-0000BE030000}"/>
    <cellStyle name="Normal 2 48 3" xfId="959" xr:uid="{00000000-0005-0000-0000-0000BF030000}"/>
    <cellStyle name="Normal 2 49" xfId="960" xr:uid="{00000000-0005-0000-0000-0000C0030000}"/>
    <cellStyle name="Normal 2 5" xfId="961" xr:uid="{00000000-0005-0000-0000-0000C1030000}"/>
    <cellStyle name="Normal 2 5 10" xfId="962" xr:uid="{00000000-0005-0000-0000-0000C2030000}"/>
    <cellStyle name="Normal 2 5 11" xfId="963" xr:uid="{00000000-0005-0000-0000-0000C3030000}"/>
    <cellStyle name="Normal 2 5 12" xfId="964" xr:uid="{00000000-0005-0000-0000-0000C4030000}"/>
    <cellStyle name="Normal 2 5 13" xfId="965" xr:uid="{00000000-0005-0000-0000-0000C5030000}"/>
    <cellStyle name="Normal 2 5 14" xfId="966" xr:uid="{00000000-0005-0000-0000-0000C6030000}"/>
    <cellStyle name="Normal 2 5 15" xfId="967" xr:uid="{00000000-0005-0000-0000-0000C7030000}"/>
    <cellStyle name="Normal 2 5 16" xfId="968" xr:uid="{00000000-0005-0000-0000-0000C8030000}"/>
    <cellStyle name="Normal 2 5 17" xfId="969" xr:uid="{00000000-0005-0000-0000-0000C9030000}"/>
    <cellStyle name="Normal 2 5 18" xfId="970" xr:uid="{00000000-0005-0000-0000-0000CA030000}"/>
    <cellStyle name="Normal 2 5 19" xfId="971" xr:uid="{00000000-0005-0000-0000-0000CB030000}"/>
    <cellStyle name="Normal 2 5 2" xfId="972" xr:uid="{00000000-0005-0000-0000-0000CC030000}"/>
    <cellStyle name="Normal 2 5 20" xfId="973" xr:uid="{00000000-0005-0000-0000-0000CD030000}"/>
    <cellStyle name="Normal 2 5 21" xfId="974" xr:uid="{00000000-0005-0000-0000-0000CE030000}"/>
    <cellStyle name="Normal 2 5 3" xfId="975" xr:uid="{00000000-0005-0000-0000-0000CF030000}"/>
    <cellStyle name="Normal 2 5 4" xfId="976" xr:uid="{00000000-0005-0000-0000-0000D0030000}"/>
    <cellStyle name="Normal 2 5 5" xfId="977" xr:uid="{00000000-0005-0000-0000-0000D1030000}"/>
    <cellStyle name="Normal 2 5 6" xfId="978" xr:uid="{00000000-0005-0000-0000-0000D2030000}"/>
    <cellStyle name="Normal 2 5 7" xfId="979" xr:uid="{00000000-0005-0000-0000-0000D3030000}"/>
    <cellStyle name="Normal 2 5 8" xfId="980" xr:uid="{00000000-0005-0000-0000-0000D4030000}"/>
    <cellStyle name="Normal 2 5 9" xfId="981" xr:uid="{00000000-0005-0000-0000-0000D5030000}"/>
    <cellStyle name="Normal 2 50" xfId="982" xr:uid="{00000000-0005-0000-0000-0000D6030000}"/>
    <cellStyle name="Normal 2 51" xfId="983" xr:uid="{00000000-0005-0000-0000-0000D7030000}"/>
    <cellStyle name="Normal 2 52" xfId="984" xr:uid="{00000000-0005-0000-0000-0000D8030000}"/>
    <cellStyle name="Normal 2 53" xfId="985" xr:uid="{00000000-0005-0000-0000-0000D9030000}"/>
    <cellStyle name="Normal 2 54" xfId="986" xr:uid="{00000000-0005-0000-0000-0000DA030000}"/>
    <cellStyle name="Normal 2 6" xfId="987" xr:uid="{00000000-0005-0000-0000-0000DB030000}"/>
    <cellStyle name="Normal 2 6 10" xfId="988" xr:uid="{00000000-0005-0000-0000-0000DC030000}"/>
    <cellStyle name="Normal 2 6 11" xfId="989" xr:uid="{00000000-0005-0000-0000-0000DD030000}"/>
    <cellStyle name="Normal 2 6 12" xfId="990" xr:uid="{00000000-0005-0000-0000-0000DE030000}"/>
    <cellStyle name="Normal 2 6 13" xfId="991" xr:uid="{00000000-0005-0000-0000-0000DF030000}"/>
    <cellStyle name="Normal 2 6 14" xfId="992" xr:uid="{00000000-0005-0000-0000-0000E0030000}"/>
    <cellStyle name="Normal 2 6 15" xfId="993" xr:uid="{00000000-0005-0000-0000-0000E1030000}"/>
    <cellStyle name="Normal 2 6 16" xfId="994" xr:uid="{00000000-0005-0000-0000-0000E2030000}"/>
    <cellStyle name="Normal 2 6 17" xfId="995" xr:uid="{00000000-0005-0000-0000-0000E3030000}"/>
    <cellStyle name="Normal 2 6 18" xfId="996" xr:uid="{00000000-0005-0000-0000-0000E4030000}"/>
    <cellStyle name="Normal 2 6 19" xfId="997" xr:uid="{00000000-0005-0000-0000-0000E5030000}"/>
    <cellStyle name="Normal 2 6 2" xfId="998" xr:uid="{00000000-0005-0000-0000-0000E6030000}"/>
    <cellStyle name="Normal 2 6 20" xfId="999" xr:uid="{00000000-0005-0000-0000-0000E7030000}"/>
    <cellStyle name="Normal 2 6 21" xfId="1000" xr:uid="{00000000-0005-0000-0000-0000E8030000}"/>
    <cellStyle name="Normal 2 6 3" xfId="1001" xr:uid="{00000000-0005-0000-0000-0000E9030000}"/>
    <cellStyle name="Normal 2 6 4" xfId="1002" xr:uid="{00000000-0005-0000-0000-0000EA030000}"/>
    <cellStyle name="Normal 2 6 5" xfId="1003" xr:uid="{00000000-0005-0000-0000-0000EB030000}"/>
    <cellStyle name="Normal 2 6 6" xfId="1004" xr:uid="{00000000-0005-0000-0000-0000EC030000}"/>
    <cellStyle name="Normal 2 6 7" xfId="1005" xr:uid="{00000000-0005-0000-0000-0000ED030000}"/>
    <cellStyle name="Normal 2 6 8" xfId="1006" xr:uid="{00000000-0005-0000-0000-0000EE030000}"/>
    <cellStyle name="Normal 2 6 9" xfId="1007" xr:uid="{00000000-0005-0000-0000-0000EF030000}"/>
    <cellStyle name="Normal 2 7" xfId="1008" xr:uid="{00000000-0005-0000-0000-0000F0030000}"/>
    <cellStyle name="Normal 2 7 10" xfId="1009" xr:uid="{00000000-0005-0000-0000-0000F1030000}"/>
    <cellStyle name="Normal 2 7 11" xfId="1010" xr:uid="{00000000-0005-0000-0000-0000F2030000}"/>
    <cellStyle name="Normal 2 7 12" xfId="1011" xr:uid="{00000000-0005-0000-0000-0000F3030000}"/>
    <cellStyle name="Normal 2 7 13" xfId="1012" xr:uid="{00000000-0005-0000-0000-0000F4030000}"/>
    <cellStyle name="Normal 2 7 14" xfId="1013" xr:uid="{00000000-0005-0000-0000-0000F5030000}"/>
    <cellStyle name="Normal 2 7 15" xfId="1014" xr:uid="{00000000-0005-0000-0000-0000F6030000}"/>
    <cellStyle name="Normal 2 7 16" xfId="1015" xr:uid="{00000000-0005-0000-0000-0000F7030000}"/>
    <cellStyle name="Normal 2 7 17" xfId="1016" xr:uid="{00000000-0005-0000-0000-0000F8030000}"/>
    <cellStyle name="Normal 2 7 18" xfId="1017" xr:uid="{00000000-0005-0000-0000-0000F9030000}"/>
    <cellStyle name="Normal 2 7 19" xfId="1018" xr:uid="{00000000-0005-0000-0000-0000FA030000}"/>
    <cellStyle name="Normal 2 7 2" xfId="1019" xr:uid="{00000000-0005-0000-0000-0000FB030000}"/>
    <cellStyle name="Normal 2 7 20" xfId="1020" xr:uid="{00000000-0005-0000-0000-0000FC030000}"/>
    <cellStyle name="Normal 2 7 21" xfId="1021" xr:uid="{00000000-0005-0000-0000-0000FD030000}"/>
    <cellStyle name="Normal 2 7 3" xfId="1022" xr:uid="{00000000-0005-0000-0000-0000FE030000}"/>
    <cellStyle name="Normal 2 7 4" xfId="1023" xr:uid="{00000000-0005-0000-0000-0000FF030000}"/>
    <cellStyle name="Normal 2 7 5" xfId="1024" xr:uid="{00000000-0005-0000-0000-000000040000}"/>
    <cellStyle name="Normal 2 7 6" xfId="1025" xr:uid="{00000000-0005-0000-0000-000001040000}"/>
    <cellStyle name="Normal 2 7 7" xfId="1026" xr:uid="{00000000-0005-0000-0000-000002040000}"/>
    <cellStyle name="Normal 2 7 8" xfId="1027" xr:uid="{00000000-0005-0000-0000-000003040000}"/>
    <cellStyle name="Normal 2 7 9" xfId="1028" xr:uid="{00000000-0005-0000-0000-000004040000}"/>
    <cellStyle name="Normal 2 8" xfId="1029" xr:uid="{00000000-0005-0000-0000-000005040000}"/>
    <cellStyle name="Normal 2 8 10" xfId="1030" xr:uid="{00000000-0005-0000-0000-000006040000}"/>
    <cellStyle name="Normal 2 8 11" xfId="1031" xr:uid="{00000000-0005-0000-0000-000007040000}"/>
    <cellStyle name="Normal 2 8 12" xfId="1032" xr:uid="{00000000-0005-0000-0000-000008040000}"/>
    <cellStyle name="Normal 2 8 13" xfId="1033" xr:uid="{00000000-0005-0000-0000-000009040000}"/>
    <cellStyle name="Normal 2 8 14" xfId="1034" xr:uid="{00000000-0005-0000-0000-00000A040000}"/>
    <cellStyle name="Normal 2 8 15" xfId="1035" xr:uid="{00000000-0005-0000-0000-00000B040000}"/>
    <cellStyle name="Normal 2 8 16" xfId="1036" xr:uid="{00000000-0005-0000-0000-00000C040000}"/>
    <cellStyle name="Normal 2 8 17" xfId="1037" xr:uid="{00000000-0005-0000-0000-00000D040000}"/>
    <cellStyle name="Normal 2 8 18" xfId="1038" xr:uid="{00000000-0005-0000-0000-00000E040000}"/>
    <cellStyle name="Normal 2 8 19" xfId="1039" xr:uid="{00000000-0005-0000-0000-00000F040000}"/>
    <cellStyle name="Normal 2 8 2" xfId="1040" xr:uid="{00000000-0005-0000-0000-000010040000}"/>
    <cellStyle name="Normal 2 8 20" xfId="1041" xr:uid="{00000000-0005-0000-0000-000011040000}"/>
    <cellStyle name="Normal 2 8 21" xfId="1042" xr:uid="{00000000-0005-0000-0000-000012040000}"/>
    <cellStyle name="Normal 2 8 3" xfId="1043" xr:uid="{00000000-0005-0000-0000-000013040000}"/>
    <cellStyle name="Normal 2 8 4" xfId="1044" xr:uid="{00000000-0005-0000-0000-000014040000}"/>
    <cellStyle name="Normal 2 8 5" xfId="1045" xr:uid="{00000000-0005-0000-0000-000015040000}"/>
    <cellStyle name="Normal 2 8 6" xfId="1046" xr:uid="{00000000-0005-0000-0000-000016040000}"/>
    <cellStyle name="Normal 2 8 7" xfId="1047" xr:uid="{00000000-0005-0000-0000-000017040000}"/>
    <cellStyle name="Normal 2 8 8" xfId="1048" xr:uid="{00000000-0005-0000-0000-000018040000}"/>
    <cellStyle name="Normal 2 8 9" xfId="1049" xr:uid="{00000000-0005-0000-0000-000019040000}"/>
    <cellStyle name="Normal 2 9" xfId="1050" xr:uid="{00000000-0005-0000-0000-00001A040000}"/>
    <cellStyle name="Normal 2 9 10" xfId="1051" xr:uid="{00000000-0005-0000-0000-00001B040000}"/>
    <cellStyle name="Normal 2 9 11" xfId="1052" xr:uid="{00000000-0005-0000-0000-00001C040000}"/>
    <cellStyle name="Normal 2 9 12" xfId="1053" xr:uid="{00000000-0005-0000-0000-00001D040000}"/>
    <cellStyle name="Normal 2 9 13" xfId="1054" xr:uid="{00000000-0005-0000-0000-00001E040000}"/>
    <cellStyle name="Normal 2 9 14" xfId="1055" xr:uid="{00000000-0005-0000-0000-00001F040000}"/>
    <cellStyle name="Normal 2 9 15" xfId="1056" xr:uid="{00000000-0005-0000-0000-000020040000}"/>
    <cellStyle name="Normal 2 9 16" xfId="1057" xr:uid="{00000000-0005-0000-0000-000021040000}"/>
    <cellStyle name="Normal 2 9 17" xfId="1058" xr:uid="{00000000-0005-0000-0000-000022040000}"/>
    <cellStyle name="Normal 2 9 18" xfId="1059" xr:uid="{00000000-0005-0000-0000-000023040000}"/>
    <cellStyle name="Normal 2 9 19" xfId="1060" xr:uid="{00000000-0005-0000-0000-000024040000}"/>
    <cellStyle name="Normal 2 9 2" xfId="1061" xr:uid="{00000000-0005-0000-0000-000025040000}"/>
    <cellStyle name="Normal 2 9 20" xfId="1062" xr:uid="{00000000-0005-0000-0000-000026040000}"/>
    <cellStyle name="Normal 2 9 21" xfId="1063" xr:uid="{00000000-0005-0000-0000-000027040000}"/>
    <cellStyle name="Normal 2 9 3" xfId="1064" xr:uid="{00000000-0005-0000-0000-000028040000}"/>
    <cellStyle name="Normal 2 9 4" xfId="1065" xr:uid="{00000000-0005-0000-0000-000029040000}"/>
    <cellStyle name="Normal 2 9 5" xfId="1066" xr:uid="{00000000-0005-0000-0000-00002A040000}"/>
    <cellStyle name="Normal 2 9 6" xfId="1067" xr:uid="{00000000-0005-0000-0000-00002B040000}"/>
    <cellStyle name="Normal 2 9 7" xfId="1068" xr:uid="{00000000-0005-0000-0000-00002C040000}"/>
    <cellStyle name="Normal 2 9 8" xfId="1069" xr:uid="{00000000-0005-0000-0000-00002D040000}"/>
    <cellStyle name="Normal 2 9 9" xfId="1070" xr:uid="{00000000-0005-0000-0000-00002E040000}"/>
    <cellStyle name="Normal 20" xfId="1071" xr:uid="{00000000-0005-0000-0000-00002F040000}"/>
    <cellStyle name="Normal 20 2" xfId="1072" xr:uid="{00000000-0005-0000-0000-000030040000}"/>
    <cellStyle name="Normal 20 3" xfId="1073" xr:uid="{00000000-0005-0000-0000-000031040000}"/>
    <cellStyle name="Normal 20 4" xfId="1074" xr:uid="{00000000-0005-0000-0000-000032040000}"/>
    <cellStyle name="Normal 20 5" xfId="1075" xr:uid="{00000000-0005-0000-0000-000033040000}"/>
    <cellStyle name="Normal 20 6" xfId="1076" xr:uid="{00000000-0005-0000-0000-000034040000}"/>
    <cellStyle name="Normal 21" xfId="1077" xr:uid="{00000000-0005-0000-0000-000035040000}"/>
    <cellStyle name="Normal 21 2" xfId="1078" xr:uid="{00000000-0005-0000-0000-000036040000}"/>
    <cellStyle name="Normal 21 3" xfId="1079" xr:uid="{00000000-0005-0000-0000-000037040000}"/>
    <cellStyle name="Normal 21 4" xfId="1080" xr:uid="{00000000-0005-0000-0000-000038040000}"/>
    <cellStyle name="Normal 21 5" xfId="1081" xr:uid="{00000000-0005-0000-0000-000039040000}"/>
    <cellStyle name="Normal 21 6" xfId="1082" xr:uid="{00000000-0005-0000-0000-00003A040000}"/>
    <cellStyle name="Normal 22" xfId="1083" xr:uid="{00000000-0005-0000-0000-00003B040000}"/>
    <cellStyle name="Normal 23" xfId="1084" xr:uid="{00000000-0005-0000-0000-00003C040000}"/>
    <cellStyle name="Normal 24" xfId="1085" xr:uid="{00000000-0005-0000-0000-00003D040000}"/>
    <cellStyle name="Normal 24 3" xfId="1086" xr:uid="{00000000-0005-0000-0000-00003E040000}"/>
    <cellStyle name="Normal 25" xfId="1087" xr:uid="{00000000-0005-0000-0000-00003F040000}"/>
    <cellStyle name="Normal 26" xfId="1088" xr:uid="{00000000-0005-0000-0000-000040040000}"/>
    <cellStyle name="Normal 27" xfId="1089" xr:uid="{00000000-0005-0000-0000-000041040000}"/>
    <cellStyle name="Normal 28" xfId="1090" xr:uid="{00000000-0005-0000-0000-000042040000}"/>
    <cellStyle name="Normal 29" xfId="1091" xr:uid="{00000000-0005-0000-0000-000043040000}"/>
    <cellStyle name="Normal 3" xfId="1092" xr:uid="{00000000-0005-0000-0000-000044040000}"/>
    <cellStyle name="Normal 3 10" xfId="1093" xr:uid="{00000000-0005-0000-0000-000045040000}"/>
    <cellStyle name="Normal 3 11" xfId="1094" xr:uid="{00000000-0005-0000-0000-000046040000}"/>
    <cellStyle name="Normal 3 12" xfId="1095" xr:uid="{00000000-0005-0000-0000-000047040000}"/>
    <cellStyle name="Normal 3 13" xfId="1096" xr:uid="{00000000-0005-0000-0000-000048040000}"/>
    <cellStyle name="Normal 3 14" xfId="1097" xr:uid="{00000000-0005-0000-0000-000049040000}"/>
    <cellStyle name="Normal 3 15" xfId="1098" xr:uid="{00000000-0005-0000-0000-00004A040000}"/>
    <cellStyle name="Normal 3 16" xfId="1099" xr:uid="{00000000-0005-0000-0000-00004B040000}"/>
    <cellStyle name="Normal 3 17" xfId="1100" xr:uid="{00000000-0005-0000-0000-00004C040000}"/>
    <cellStyle name="Normal 3 18" xfId="1101" xr:uid="{00000000-0005-0000-0000-00004D040000}"/>
    <cellStyle name="Normal 3 19" xfId="1102" xr:uid="{00000000-0005-0000-0000-00004E040000}"/>
    <cellStyle name="Normal 3 2" xfId="1103" xr:uid="{00000000-0005-0000-0000-00004F040000}"/>
    <cellStyle name="Normal 3 2 2" xfId="1104" xr:uid="{00000000-0005-0000-0000-000050040000}"/>
    <cellStyle name="Normal 3 2 2 2" xfId="1105" xr:uid="{00000000-0005-0000-0000-000051040000}"/>
    <cellStyle name="Normal 3 2 3" xfId="1106" xr:uid="{00000000-0005-0000-0000-000052040000}"/>
    <cellStyle name="Normal 3 2 4" xfId="1107" xr:uid="{00000000-0005-0000-0000-000053040000}"/>
    <cellStyle name="Normal 3 20" xfId="1108" xr:uid="{00000000-0005-0000-0000-000054040000}"/>
    <cellStyle name="Normal 3 21" xfId="1109" xr:uid="{00000000-0005-0000-0000-000055040000}"/>
    <cellStyle name="Normal 3 22" xfId="1110" xr:uid="{00000000-0005-0000-0000-000056040000}"/>
    <cellStyle name="Normal 3 23" xfId="1111" xr:uid="{00000000-0005-0000-0000-000057040000}"/>
    <cellStyle name="Normal 3 24" xfId="1112" xr:uid="{00000000-0005-0000-0000-000058040000}"/>
    <cellStyle name="Normal 3 25" xfId="1113" xr:uid="{00000000-0005-0000-0000-000059040000}"/>
    <cellStyle name="Normal 3 26" xfId="1114" xr:uid="{00000000-0005-0000-0000-00005A040000}"/>
    <cellStyle name="Normal 3 27" xfId="1115" xr:uid="{00000000-0005-0000-0000-00005B040000}"/>
    <cellStyle name="Normal 3 28" xfId="1116" xr:uid="{00000000-0005-0000-0000-00005C040000}"/>
    <cellStyle name="Normal 3 29" xfId="1117" xr:uid="{00000000-0005-0000-0000-00005D040000}"/>
    <cellStyle name="Normal 3 3" xfId="1118" xr:uid="{00000000-0005-0000-0000-00005E040000}"/>
    <cellStyle name="Normal 3 30" xfId="1119" xr:uid="{00000000-0005-0000-0000-00005F040000}"/>
    <cellStyle name="Normal 3 31" xfId="1120" xr:uid="{00000000-0005-0000-0000-000060040000}"/>
    <cellStyle name="Normal 3 32" xfId="1121" xr:uid="{00000000-0005-0000-0000-000061040000}"/>
    <cellStyle name="Normal 3 33" xfId="1122" xr:uid="{00000000-0005-0000-0000-000062040000}"/>
    <cellStyle name="Normal 3 34" xfId="1123" xr:uid="{00000000-0005-0000-0000-000063040000}"/>
    <cellStyle name="Normal 3 35" xfId="1124" xr:uid="{00000000-0005-0000-0000-000064040000}"/>
    <cellStyle name="Normal 3 36" xfId="1125" xr:uid="{00000000-0005-0000-0000-000065040000}"/>
    <cellStyle name="Normal 3 37" xfId="1126" xr:uid="{00000000-0005-0000-0000-000066040000}"/>
    <cellStyle name="Normal 3 38" xfId="1127" xr:uid="{00000000-0005-0000-0000-000067040000}"/>
    <cellStyle name="Normal 3 39" xfId="1128" xr:uid="{00000000-0005-0000-0000-000068040000}"/>
    <cellStyle name="Normal 3 4" xfId="1129" xr:uid="{00000000-0005-0000-0000-000069040000}"/>
    <cellStyle name="Normal 3 40" xfId="1130" xr:uid="{00000000-0005-0000-0000-00006A040000}"/>
    <cellStyle name="Normal 3 40 2" xfId="1131" xr:uid="{00000000-0005-0000-0000-00006B040000}"/>
    <cellStyle name="Normal 3 41" xfId="1132" xr:uid="{00000000-0005-0000-0000-00006C040000}"/>
    <cellStyle name="Normal 3 42" xfId="1133" xr:uid="{00000000-0005-0000-0000-00006D040000}"/>
    <cellStyle name="Normal 3 43" xfId="1134" xr:uid="{00000000-0005-0000-0000-00006E040000}"/>
    <cellStyle name="Normal 3 44" xfId="1135" xr:uid="{00000000-0005-0000-0000-00006F040000}"/>
    <cellStyle name="Normal 3 45" xfId="1136" xr:uid="{00000000-0005-0000-0000-000070040000}"/>
    <cellStyle name="Normal 3 46" xfId="1137" xr:uid="{00000000-0005-0000-0000-000071040000}"/>
    <cellStyle name="Normal 3 47" xfId="1138" xr:uid="{00000000-0005-0000-0000-000072040000}"/>
    <cellStyle name="Normal 3 48" xfId="1139" xr:uid="{00000000-0005-0000-0000-000073040000}"/>
    <cellStyle name="Normal 3 49" xfId="1140" xr:uid="{00000000-0005-0000-0000-000074040000}"/>
    <cellStyle name="Normal 3 5" xfId="1141" xr:uid="{00000000-0005-0000-0000-000075040000}"/>
    <cellStyle name="Normal 3 50" xfId="1142" xr:uid="{00000000-0005-0000-0000-000076040000}"/>
    <cellStyle name="Normal 3 51" xfId="1143" xr:uid="{00000000-0005-0000-0000-000077040000}"/>
    <cellStyle name="Normal 3 52" xfId="1144" xr:uid="{00000000-0005-0000-0000-000078040000}"/>
    <cellStyle name="Normal 3 53" xfId="1145" xr:uid="{00000000-0005-0000-0000-000079040000}"/>
    <cellStyle name="Normal 3 54" xfId="1146" xr:uid="{00000000-0005-0000-0000-00007A040000}"/>
    <cellStyle name="Normal 3 55" xfId="1147" xr:uid="{00000000-0005-0000-0000-00007B040000}"/>
    <cellStyle name="Normal 3 6" xfId="1148" xr:uid="{00000000-0005-0000-0000-00007C040000}"/>
    <cellStyle name="Normal 3 7" xfId="1149" xr:uid="{00000000-0005-0000-0000-00007D040000}"/>
    <cellStyle name="Normal 3 8" xfId="1150" xr:uid="{00000000-0005-0000-0000-00007E040000}"/>
    <cellStyle name="Normal 3 9" xfId="1151" xr:uid="{00000000-0005-0000-0000-00007F040000}"/>
    <cellStyle name="Normal 30" xfId="1152" xr:uid="{00000000-0005-0000-0000-000080040000}"/>
    <cellStyle name="Normal 31" xfId="1153" xr:uid="{00000000-0005-0000-0000-000081040000}"/>
    <cellStyle name="Normal 32" xfId="1154" xr:uid="{00000000-0005-0000-0000-000082040000}"/>
    <cellStyle name="Normal 33" xfId="1155" xr:uid="{00000000-0005-0000-0000-000083040000}"/>
    <cellStyle name="Normal 35" xfId="1156" xr:uid="{00000000-0005-0000-0000-000084040000}"/>
    <cellStyle name="Normal 4" xfId="1157" xr:uid="{00000000-0005-0000-0000-000085040000}"/>
    <cellStyle name="Normal 4 10" xfId="1158" xr:uid="{00000000-0005-0000-0000-000086040000}"/>
    <cellStyle name="Normal 4 11" xfId="1159" xr:uid="{00000000-0005-0000-0000-000087040000}"/>
    <cellStyle name="Normal 4 12" xfId="1160" xr:uid="{00000000-0005-0000-0000-000088040000}"/>
    <cellStyle name="Normal 4 13" xfId="1161" xr:uid="{00000000-0005-0000-0000-000089040000}"/>
    <cellStyle name="Normal 4 14" xfId="1162" xr:uid="{00000000-0005-0000-0000-00008A040000}"/>
    <cellStyle name="Normal 4 15" xfId="1163" xr:uid="{00000000-0005-0000-0000-00008B040000}"/>
    <cellStyle name="Normal 4 16" xfId="1164" xr:uid="{00000000-0005-0000-0000-00008C040000}"/>
    <cellStyle name="Normal 4 17" xfId="1165" xr:uid="{00000000-0005-0000-0000-00008D040000}"/>
    <cellStyle name="Normal 4 18" xfId="1166" xr:uid="{00000000-0005-0000-0000-00008E040000}"/>
    <cellStyle name="Normal 4 19" xfId="1167" xr:uid="{00000000-0005-0000-0000-00008F040000}"/>
    <cellStyle name="Normal 4 2" xfId="1168" xr:uid="{00000000-0005-0000-0000-000090040000}"/>
    <cellStyle name="Normal 4 2 2" xfId="1169" xr:uid="{00000000-0005-0000-0000-000091040000}"/>
    <cellStyle name="Normal 4 2 3" xfId="1170" xr:uid="{00000000-0005-0000-0000-000092040000}"/>
    <cellStyle name="Normal 4 20" xfId="1171" xr:uid="{00000000-0005-0000-0000-000093040000}"/>
    <cellStyle name="Normal 4 21" xfId="1172" xr:uid="{00000000-0005-0000-0000-000094040000}"/>
    <cellStyle name="Normal 4 21 2" xfId="1173" xr:uid="{00000000-0005-0000-0000-000095040000}"/>
    <cellStyle name="Normal 4 22" xfId="1174" xr:uid="{00000000-0005-0000-0000-000096040000}"/>
    <cellStyle name="Normal 4 23" xfId="1175" xr:uid="{00000000-0005-0000-0000-000097040000}"/>
    <cellStyle name="Normal 4 24" xfId="1176" xr:uid="{00000000-0005-0000-0000-000098040000}"/>
    <cellStyle name="Normal 4 25" xfId="1177" xr:uid="{00000000-0005-0000-0000-000099040000}"/>
    <cellStyle name="Normal 4 26" xfId="1178" xr:uid="{00000000-0005-0000-0000-00009A040000}"/>
    <cellStyle name="Normal 4 27" xfId="1179" xr:uid="{00000000-0005-0000-0000-00009B040000}"/>
    <cellStyle name="Normal 4 28" xfId="1180" xr:uid="{00000000-0005-0000-0000-00009C040000}"/>
    <cellStyle name="Normal 4 3" xfId="1181" xr:uid="{00000000-0005-0000-0000-00009D040000}"/>
    <cellStyle name="Normal 4 4" xfId="1182" xr:uid="{00000000-0005-0000-0000-00009E040000}"/>
    <cellStyle name="Normal 4 5" xfId="1183" xr:uid="{00000000-0005-0000-0000-00009F040000}"/>
    <cellStyle name="Normal 4 6" xfId="1184" xr:uid="{00000000-0005-0000-0000-0000A0040000}"/>
    <cellStyle name="Normal 4 7" xfId="1185" xr:uid="{00000000-0005-0000-0000-0000A1040000}"/>
    <cellStyle name="Normal 4 8" xfId="1186" xr:uid="{00000000-0005-0000-0000-0000A2040000}"/>
    <cellStyle name="Normal 4 9" xfId="1187" xr:uid="{00000000-0005-0000-0000-0000A3040000}"/>
    <cellStyle name="Normal 5" xfId="1188" xr:uid="{00000000-0005-0000-0000-0000A4040000}"/>
    <cellStyle name="Normal 5 10" xfId="1189" xr:uid="{00000000-0005-0000-0000-0000A5040000}"/>
    <cellStyle name="Normal 5 11" xfId="1190" xr:uid="{00000000-0005-0000-0000-0000A6040000}"/>
    <cellStyle name="Normal 5 12" xfId="1191" xr:uid="{00000000-0005-0000-0000-0000A7040000}"/>
    <cellStyle name="Normal 5 2" xfId="1192" xr:uid="{00000000-0005-0000-0000-0000A8040000}"/>
    <cellStyle name="Normal 5 3" xfId="1193" xr:uid="{00000000-0005-0000-0000-0000A9040000}"/>
    <cellStyle name="Normal 5 4" xfId="1194" xr:uid="{00000000-0005-0000-0000-0000AA040000}"/>
    <cellStyle name="Normal 5 5" xfId="1195" xr:uid="{00000000-0005-0000-0000-0000AB040000}"/>
    <cellStyle name="Normal 5 6" xfId="1196" xr:uid="{00000000-0005-0000-0000-0000AC040000}"/>
    <cellStyle name="Normal 5 7" xfId="1197" xr:uid="{00000000-0005-0000-0000-0000AD040000}"/>
    <cellStyle name="Normal 5 8" xfId="1198" xr:uid="{00000000-0005-0000-0000-0000AE040000}"/>
    <cellStyle name="Normal 5 9" xfId="1199" xr:uid="{00000000-0005-0000-0000-0000AF040000}"/>
    <cellStyle name="Normal 5 9 2" xfId="1200" xr:uid="{00000000-0005-0000-0000-0000B0040000}"/>
    <cellStyle name="Normal 6" xfId="1201" xr:uid="{00000000-0005-0000-0000-0000B1040000}"/>
    <cellStyle name="Normal 6 2" xfId="1202" xr:uid="{00000000-0005-0000-0000-0000B2040000}"/>
    <cellStyle name="Normal 6 3" xfId="1203" xr:uid="{00000000-0005-0000-0000-0000B3040000}"/>
    <cellStyle name="Normal 6 4" xfId="1204" xr:uid="{00000000-0005-0000-0000-0000B4040000}"/>
    <cellStyle name="Normal 6 5" xfId="1205" xr:uid="{00000000-0005-0000-0000-0000B5040000}"/>
    <cellStyle name="Normal 6 6" xfId="1206" xr:uid="{00000000-0005-0000-0000-0000B6040000}"/>
    <cellStyle name="Normal 6 7" xfId="1207" xr:uid="{00000000-0005-0000-0000-0000B7040000}"/>
    <cellStyle name="Normal 7" xfId="1208" xr:uid="{00000000-0005-0000-0000-0000B8040000}"/>
    <cellStyle name="Normal 7 10" xfId="1209" xr:uid="{00000000-0005-0000-0000-0000B9040000}"/>
    <cellStyle name="Normal 7 10 2" xfId="1210" xr:uid="{00000000-0005-0000-0000-0000BA040000}"/>
    <cellStyle name="Normal 7 10 2 2" xfId="1211" xr:uid="{00000000-0005-0000-0000-0000BB040000}"/>
    <cellStyle name="Normal 7 10 3" xfId="1212" xr:uid="{00000000-0005-0000-0000-0000BC040000}"/>
    <cellStyle name="Normal 7 11" xfId="1213" xr:uid="{00000000-0005-0000-0000-0000BD040000}"/>
    <cellStyle name="Normal 7 11 2" xfId="1214" xr:uid="{00000000-0005-0000-0000-0000BE040000}"/>
    <cellStyle name="Normal 7 11 2 2" xfId="1215" xr:uid="{00000000-0005-0000-0000-0000BF040000}"/>
    <cellStyle name="Normal 7 11 3" xfId="1216" xr:uid="{00000000-0005-0000-0000-0000C0040000}"/>
    <cellStyle name="Normal 7 12" xfId="1217" xr:uid="{00000000-0005-0000-0000-0000C1040000}"/>
    <cellStyle name="Normal 7 12 2" xfId="1218" xr:uid="{00000000-0005-0000-0000-0000C2040000}"/>
    <cellStyle name="Normal 7 12 2 2" xfId="1219" xr:uid="{00000000-0005-0000-0000-0000C3040000}"/>
    <cellStyle name="Normal 7 12 3" xfId="1220" xr:uid="{00000000-0005-0000-0000-0000C4040000}"/>
    <cellStyle name="Normal 7 13" xfId="1221" xr:uid="{00000000-0005-0000-0000-0000C5040000}"/>
    <cellStyle name="Normal 7 13 2" xfId="1222" xr:uid="{00000000-0005-0000-0000-0000C6040000}"/>
    <cellStyle name="Normal 7 13 2 2" xfId="1223" xr:uid="{00000000-0005-0000-0000-0000C7040000}"/>
    <cellStyle name="Normal 7 13 3" xfId="1224" xr:uid="{00000000-0005-0000-0000-0000C8040000}"/>
    <cellStyle name="Normal 7 14" xfId="1225" xr:uid="{00000000-0005-0000-0000-0000C9040000}"/>
    <cellStyle name="Normal 7 14 2" xfId="1226" xr:uid="{00000000-0005-0000-0000-0000CA040000}"/>
    <cellStyle name="Normal 7 14 2 2" xfId="1227" xr:uid="{00000000-0005-0000-0000-0000CB040000}"/>
    <cellStyle name="Normal 7 14 3" xfId="1228" xr:uid="{00000000-0005-0000-0000-0000CC040000}"/>
    <cellStyle name="Normal 7 2" xfId="1229" xr:uid="{00000000-0005-0000-0000-0000CD040000}"/>
    <cellStyle name="Normal 7 2 2" xfId="1230" xr:uid="{00000000-0005-0000-0000-0000CE040000}"/>
    <cellStyle name="Normal 7 2 2 2" xfId="1231" xr:uid="{00000000-0005-0000-0000-0000CF040000}"/>
    <cellStyle name="Normal 7 2 2 2 2" xfId="1232" xr:uid="{00000000-0005-0000-0000-0000D0040000}"/>
    <cellStyle name="Normal 7 2 2 3" xfId="1233" xr:uid="{00000000-0005-0000-0000-0000D1040000}"/>
    <cellStyle name="Normal 7 2 3" xfId="1234" xr:uid="{00000000-0005-0000-0000-0000D2040000}"/>
    <cellStyle name="Normal 7 2 3 2" xfId="1235" xr:uid="{00000000-0005-0000-0000-0000D3040000}"/>
    <cellStyle name="Normal 7 2 3 2 2" xfId="1236" xr:uid="{00000000-0005-0000-0000-0000D4040000}"/>
    <cellStyle name="Normal 7 2 3 3" xfId="1237" xr:uid="{00000000-0005-0000-0000-0000D5040000}"/>
    <cellStyle name="Normal 7 3" xfId="1238" xr:uid="{00000000-0005-0000-0000-0000D6040000}"/>
    <cellStyle name="Normal 7 3 2" xfId="1239" xr:uid="{00000000-0005-0000-0000-0000D7040000}"/>
    <cellStyle name="Normal 7 3 2 2" xfId="1240" xr:uid="{00000000-0005-0000-0000-0000D8040000}"/>
    <cellStyle name="Normal 7 3 3" xfId="1241" xr:uid="{00000000-0005-0000-0000-0000D9040000}"/>
    <cellStyle name="Normal 7 3 4" xfId="1242" xr:uid="{00000000-0005-0000-0000-0000DA040000}"/>
    <cellStyle name="Normal 7 3 5" xfId="1243" xr:uid="{00000000-0005-0000-0000-0000DB040000}"/>
    <cellStyle name="Normal 7 4" xfId="1244" xr:uid="{00000000-0005-0000-0000-0000DC040000}"/>
    <cellStyle name="Normal 7 4 2" xfId="1245" xr:uid="{00000000-0005-0000-0000-0000DD040000}"/>
    <cellStyle name="Normal 7 4 2 2" xfId="1246" xr:uid="{00000000-0005-0000-0000-0000DE040000}"/>
    <cellStyle name="Normal 7 4 3" xfId="1247" xr:uid="{00000000-0005-0000-0000-0000DF040000}"/>
    <cellStyle name="Normal 7 5" xfId="1248" xr:uid="{00000000-0005-0000-0000-0000E0040000}"/>
    <cellStyle name="Normal 7 5 2" xfId="1249" xr:uid="{00000000-0005-0000-0000-0000E1040000}"/>
    <cellStyle name="Normal 7 5 2 2" xfId="1250" xr:uid="{00000000-0005-0000-0000-0000E2040000}"/>
    <cellStyle name="Normal 7 5 3" xfId="1251" xr:uid="{00000000-0005-0000-0000-0000E3040000}"/>
    <cellStyle name="Normal 7 6" xfId="1252" xr:uid="{00000000-0005-0000-0000-0000E4040000}"/>
    <cellStyle name="Normal 7 6 2" xfId="1253" xr:uid="{00000000-0005-0000-0000-0000E5040000}"/>
    <cellStyle name="Normal 7 6 2 2" xfId="1254" xr:uid="{00000000-0005-0000-0000-0000E6040000}"/>
    <cellStyle name="Normal 7 6 3" xfId="1255" xr:uid="{00000000-0005-0000-0000-0000E7040000}"/>
    <cellStyle name="Normal 7 7" xfId="1256" xr:uid="{00000000-0005-0000-0000-0000E8040000}"/>
    <cellStyle name="Normal 7 7 2" xfId="1257" xr:uid="{00000000-0005-0000-0000-0000E9040000}"/>
    <cellStyle name="Normal 7 7 2 2" xfId="1258" xr:uid="{00000000-0005-0000-0000-0000EA040000}"/>
    <cellStyle name="Normal 7 7 3" xfId="1259" xr:uid="{00000000-0005-0000-0000-0000EB040000}"/>
    <cellStyle name="Normal 7 8" xfId="1260" xr:uid="{00000000-0005-0000-0000-0000EC040000}"/>
    <cellStyle name="Normal 7 8 2" xfId="1261" xr:uid="{00000000-0005-0000-0000-0000ED040000}"/>
    <cellStyle name="Normal 7 8 2 2" xfId="1262" xr:uid="{00000000-0005-0000-0000-0000EE040000}"/>
    <cellStyle name="Normal 7 8 3" xfId="1263" xr:uid="{00000000-0005-0000-0000-0000EF040000}"/>
    <cellStyle name="Normal 7 9" xfId="1264" xr:uid="{00000000-0005-0000-0000-0000F0040000}"/>
    <cellStyle name="Normal 7 9 2" xfId="1265" xr:uid="{00000000-0005-0000-0000-0000F1040000}"/>
    <cellStyle name="Normal 7 9 2 2" xfId="1266" xr:uid="{00000000-0005-0000-0000-0000F2040000}"/>
    <cellStyle name="Normal 7 9 3" xfId="1267" xr:uid="{00000000-0005-0000-0000-0000F3040000}"/>
    <cellStyle name="Normal 8" xfId="1268" xr:uid="{00000000-0005-0000-0000-0000F4040000}"/>
    <cellStyle name="Normal 8 10" xfId="1269" xr:uid="{00000000-0005-0000-0000-0000F5040000}"/>
    <cellStyle name="Normal 8 10 2" xfId="1270" xr:uid="{00000000-0005-0000-0000-0000F6040000}"/>
    <cellStyle name="Normal 8 10 2 2" xfId="1271" xr:uid="{00000000-0005-0000-0000-0000F7040000}"/>
    <cellStyle name="Normal 8 10 3" xfId="1272" xr:uid="{00000000-0005-0000-0000-0000F8040000}"/>
    <cellStyle name="Normal 8 11" xfId="1273" xr:uid="{00000000-0005-0000-0000-0000F9040000}"/>
    <cellStyle name="Normal 8 11 2" xfId="1274" xr:uid="{00000000-0005-0000-0000-0000FA040000}"/>
    <cellStyle name="Normal 8 11 2 2" xfId="1275" xr:uid="{00000000-0005-0000-0000-0000FB040000}"/>
    <cellStyle name="Normal 8 11 3" xfId="1276" xr:uid="{00000000-0005-0000-0000-0000FC040000}"/>
    <cellStyle name="Normal 8 12" xfId="1277" xr:uid="{00000000-0005-0000-0000-0000FD040000}"/>
    <cellStyle name="Normal 8 12 2" xfId="1278" xr:uid="{00000000-0005-0000-0000-0000FE040000}"/>
    <cellStyle name="Normal 8 12 2 2" xfId="1279" xr:uid="{00000000-0005-0000-0000-0000FF040000}"/>
    <cellStyle name="Normal 8 12 3" xfId="1280" xr:uid="{00000000-0005-0000-0000-000000050000}"/>
    <cellStyle name="Normal 8 13" xfId="1281" xr:uid="{00000000-0005-0000-0000-000001050000}"/>
    <cellStyle name="Normal 8 13 2" xfId="1282" xr:uid="{00000000-0005-0000-0000-000002050000}"/>
    <cellStyle name="Normal 8 13 2 2" xfId="1283" xr:uid="{00000000-0005-0000-0000-000003050000}"/>
    <cellStyle name="Normal 8 13 3" xfId="1284" xr:uid="{00000000-0005-0000-0000-000004050000}"/>
    <cellStyle name="Normal 8 14" xfId="1285" xr:uid="{00000000-0005-0000-0000-000005050000}"/>
    <cellStyle name="Normal 8 14 2" xfId="1286" xr:uid="{00000000-0005-0000-0000-000006050000}"/>
    <cellStyle name="Normal 8 14 2 2" xfId="1287" xr:uid="{00000000-0005-0000-0000-000007050000}"/>
    <cellStyle name="Normal 8 14 3" xfId="1288" xr:uid="{00000000-0005-0000-0000-000008050000}"/>
    <cellStyle name="Normal 8 2" xfId="1289" xr:uid="{00000000-0005-0000-0000-000009050000}"/>
    <cellStyle name="Normal 8 2 2" xfId="1290" xr:uid="{00000000-0005-0000-0000-00000A050000}"/>
    <cellStyle name="Normal 8 2 2 2" xfId="1291" xr:uid="{00000000-0005-0000-0000-00000B050000}"/>
    <cellStyle name="Normal 8 2 2 2 2" xfId="1292" xr:uid="{00000000-0005-0000-0000-00000C050000}"/>
    <cellStyle name="Normal 8 2 2 3" xfId="1293" xr:uid="{00000000-0005-0000-0000-00000D050000}"/>
    <cellStyle name="Normal 8 2 3" xfId="1294" xr:uid="{00000000-0005-0000-0000-00000E050000}"/>
    <cellStyle name="Normal 8 2 3 2" xfId="1295" xr:uid="{00000000-0005-0000-0000-00000F050000}"/>
    <cellStyle name="Normal 8 2 3 2 2" xfId="1296" xr:uid="{00000000-0005-0000-0000-000010050000}"/>
    <cellStyle name="Normal 8 2 3 3" xfId="1297" xr:uid="{00000000-0005-0000-0000-000011050000}"/>
    <cellStyle name="Normal 8 3" xfId="1298" xr:uid="{00000000-0005-0000-0000-000012050000}"/>
    <cellStyle name="Normal 8 3 2" xfId="1299" xr:uid="{00000000-0005-0000-0000-000013050000}"/>
    <cellStyle name="Normal 8 3 2 2" xfId="1300" xr:uid="{00000000-0005-0000-0000-000014050000}"/>
    <cellStyle name="Normal 8 3 3" xfId="1301" xr:uid="{00000000-0005-0000-0000-000015050000}"/>
    <cellStyle name="Normal 8 4" xfId="1302" xr:uid="{00000000-0005-0000-0000-000016050000}"/>
    <cellStyle name="Normal 8 4 2" xfId="1303" xr:uid="{00000000-0005-0000-0000-000017050000}"/>
    <cellStyle name="Normal 8 4 2 2" xfId="1304" xr:uid="{00000000-0005-0000-0000-000018050000}"/>
    <cellStyle name="Normal 8 4 3" xfId="1305" xr:uid="{00000000-0005-0000-0000-000019050000}"/>
    <cellStyle name="Normal 8 5" xfId="1306" xr:uid="{00000000-0005-0000-0000-00001A050000}"/>
    <cellStyle name="Normal 8 5 2" xfId="1307" xr:uid="{00000000-0005-0000-0000-00001B050000}"/>
    <cellStyle name="Normal 8 5 2 2" xfId="1308" xr:uid="{00000000-0005-0000-0000-00001C050000}"/>
    <cellStyle name="Normal 8 5 3" xfId="1309" xr:uid="{00000000-0005-0000-0000-00001D050000}"/>
    <cellStyle name="Normal 8 6" xfId="1310" xr:uid="{00000000-0005-0000-0000-00001E050000}"/>
    <cellStyle name="Normal 8 6 2" xfId="1311" xr:uid="{00000000-0005-0000-0000-00001F050000}"/>
    <cellStyle name="Normal 8 6 2 2" xfId="1312" xr:uid="{00000000-0005-0000-0000-000020050000}"/>
    <cellStyle name="Normal 8 6 3" xfId="1313" xr:uid="{00000000-0005-0000-0000-000021050000}"/>
    <cellStyle name="Normal 8 7" xfId="1314" xr:uid="{00000000-0005-0000-0000-000022050000}"/>
    <cellStyle name="Normal 8 7 2" xfId="1315" xr:uid="{00000000-0005-0000-0000-000023050000}"/>
    <cellStyle name="Normal 8 7 2 2" xfId="1316" xr:uid="{00000000-0005-0000-0000-000024050000}"/>
    <cellStyle name="Normal 8 7 3" xfId="1317" xr:uid="{00000000-0005-0000-0000-000025050000}"/>
    <cellStyle name="Normal 8 8" xfId="1318" xr:uid="{00000000-0005-0000-0000-000026050000}"/>
    <cellStyle name="Normal 8 8 2" xfId="1319" xr:uid="{00000000-0005-0000-0000-000027050000}"/>
    <cellStyle name="Normal 8 8 2 2" xfId="1320" xr:uid="{00000000-0005-0000-0000-000028050000}"/>
    <cellStyle name="Normal 8 8 3" xfId="1321" xr:uid="{00000000-0005-0000-0000-000029050000}"/>
    <cellStyle name="Normal 8 9" xfId="1322" xr:uid="{00000000-0005-0000-0000-00002A050000}"/>
    <cellStyle name="Normal 8 9 2" xfId="1323" xr:uid="{00000000-0005-0000-0000-00002B050000}"/>
    <cellStyle name="Normal 8 9 2 2" xfId="1324" xr:uid="{00000000-0005-0000-0000-00002C050000}"/>
    <cellStyle name="Normal 8 9 3" xfId="1325" xr:uid="{00000000-0005-0000-0000-00002D050000}"/>
    <cellStyle name="Normal 9" xfId="1326" xr:uid="{00000000-0005-0000-0000-00002E050000}"/>
    <cellStyle name="Normal 9 2" xfId="1327" xr:uid="{00000000-0005-0000-0000-00002F050000}"/>
    <cellStyle name="Normal 9 2 2" xfId="1328" xr:uid="{00000000-0005-0000-0000-000030050000}"/>
    <cellStyle name="Normal 9 2 3" xfId="1329" xr:uid="{00000000-0005-0000-0000-000031050000}"/>
    <cellStyle name="Normal 9 2 4" xfId="1330" xr:uid="{00000000-0005-0000-0000-000032050000}"/>
    <cellStyle name="Normal 9 2 5" xfId="1331" xr:uid="{00000000-0005-0000-0000-000033050000}"/>
    <cellStyle name="Normal 9 3" xfId="1332" xr:uid="{00000000-0005-0000-0000-000034050000}"/>
    <cellStyle name="Normal 9 3 2" xfId="1333" xr:uid="{00000000-0005-0000-0000-000035050000}"/>
    <cellStyle name="Normal 9 3 3" xfId="1334" xr:uid="{00000000-0005-0000-0000-000036050000}"/>
    <cellStyle name="Normal 9 3 4" xfId="1335" xr:uid="{00000000-0005-0000-0000-000037050000}"/>
    <cellStyle name="Normal 9 3 5" xfId="1336" xr:uid="{00000000-0005-0000-0000-000038050000}"/>
    <cellStyle name="Normal 9 4" xfId="1337" xr:uid="{00000000-0005-0000-0000-000039050000}"/>
    <cellStyle name="Normal 9 4 2" xfId="1338" xr:uid="{00000000-0005-0000-0000-00003A050000}"/>
    <cellStyle name="Normal 9 4 3" xfId="1339" xr:uid="{00000000-0005-0000-0000-00003B050000}"/>
    <cellStyle name="Normal 9 4 4" xfId="1340" xr:uid="{00000000-0005-0000-0000-00003C050000}"/>
    <cellStyle name="Normal 9 4 5" xfId="1341" xr:uid="{00000000-0005-0000-0000-00003D050000}"/>
    <cellStyle name="Normal 9 5" xfId="1342" xr:uid="{00000000-0005-0000-0000-00003E050000}"/>
    <cellStyle name="Normal 9 5 2" xfId="1343" xr:uid="{00000000-0005-0000-0000-00003F050000}"/>
    <cellStyle name="Normal 9 5 3" xfId="1344" xr:uid="{00000000-0005-0000-0000-000040050000}"/>
    <cellStyle name="Normal 9 5 4" xfId="1345" xr:uid="{00000000-0005-0000-0000-000041050000}"/>
    <cellStyle name="Normal 9 5 5" xfId="1346" xr:uid="{00000000-0005-0000-0000-000042050000}"/>
    <cellStyle name="Normal 9 6" xfId="1347" xr:uid="{00000000-0005-0000-0000-000043050000}"/>
    <cellStyle name="Normal 9 6 2" xfId="1348" xr:uid="{00000000-0005-0000-0000-000044050000}"/>
    <cellStyle name="Normal 9 6 3" xfId="1349" xr:uid="{00000000-0005-0000-0000-000045050000}"/>
    <cellStyle name="Normal 9 6 4" xfId="1350" xr:uid="{00000000-0005-0000-0000-000046050000}"/>
    <cellStyle name="Normal 9 6 5" xfId="1351" xr:uid="{00000000-0005-0000-0000-000047050000}"/>
    <cellStyle name="Normal 9 7" xfId="1352" xr:uid="{00000000-0005-0000-0000-000048050000}"/>
    <cellStyle name="Normal 9 7 2" xfId="1353" xr:uid="{00000000-0005-0000-0000-000049050000}"/>
    <cellStyle name="Normal 9 7 3" xfId="1354" xr:uid="{00000000-0005-0000-0000-00004A050000}"/>
    <cellStyle name="Normal 9 7 4" xfId="1355" xr:uid="{00000000-0005-0000-0000-00004B050000}"/>
    <cellStyle name="Normal 9 7 5" xfId="1356" xr:uid="{00000000-0005-0000-0000-00004C050000}"/>
    <cellStyle name="Normal 9 8" xfId="1357" xr:uid="{00000000-0005-0000-0000-00004D050000}"/>
    <cellStyle name="Normal 9 8 2" xfId="1358" xr:uid="{00000000-0005-0000-0000-00004E050000}"/>
    <cellStyle name="Normal 9 8 3" xfId="1359" xr:uid="{00000000-0005-0000-0000-00004F050000}"/>
    <cellStyle name="Normal 9 8 4" xfId="1360" xr:uid="{00000000-0005-0000-0000-000050050000}"/>
    <cellStyle name="Normal 9 8 5" xfId="1361" xr:uid="{00000000-0005-0000-0000-000051050000}"/>
    <cellStyle name="Pourcentage 2" xfId="1362" xr:uid="{00000000-0005-0000-0000-000052050000}"/>
    <cellStyle name="Pourcentage 2 2" xfId="1363" xr:uid="{00000000-0005-0000-0000-000053050000}"/>
    <cellStyle name="Pourcentage 3" xfId="1364" xr:uid="{00000000-0005-0000-0000-000054050000}"/>
    <cellStyle name="Pourcentage 4" xfId="1365" xr:uid="{00000000-0005-0000-0000-000055050000}"/>
    <cellStyle name="RGPH" xfId="1366" xr:uid="{00000000-0005-0000-0000-000056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6\DOCUME~1\ncs\LOCALS~1\Temp\Rar$DI00.328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6\Users\irem\Desktop\GEC\2011\x06.NB\NB.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6\GEC%20Travaux%20finalis&#233;s%2020111026\_BZ\zTN%202010%20(9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6\DOCUME~1\ncs\LOCALS~1\Temp\Rar$DI00.328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02"/>
      <sheetName val="03"/>
      <sheetName val="1"/>
      <sheetName val="2"/>
      <sheetName val="Pop"/>
      <sheetName val="3"/>
      <sheetName val="4"/>
      <sheetName val="5"/>
      <sheetName val="6"/>
      <sheetName val="SS"/>
      <sheetName val="Edu"/>
      <sheetName val="G7"/>
      <sheetName val="7"/>
      <sheetName val="G8"/>
      <sheetName val="8"/>
      <sheetName val="9"/>
      <sheetName val="10"/>
      <sheetName val="11"/>
      <sheetName val="12"/>
      <sheetName val="13"/>
      <sheetName val="14"/>
      <sheetName val="15"/>
      <sheetName val="EnsSup"/>
      <sheetName val="G16"/>
      <sheetName val="16"/>
      <sheetName val="17"/>
      <sheetName val="FormProf"/>
      <sheetName val="G18"/>
      <sheetName val="18"/>
      <sheetName val="19"/>
      <sheetName val="20"/>
      <sheetName val="21"/>
      <sheetName val="Emploi"/>
      <sheetName val="22"/>
      <sheetName val="23"/>
      <sheetName val="Santé"/>
      <sheetName val="G24"/>
      <sheetName val="24"/>
      <sheetName val="G25"/>
      <sheetName val="25"/>
      <sheetName val="G26"/>
      <sheetName val="26"/>
      <sheetName val="G27"/>
      <sheetName val="27"/>
      <sheetName val="28"/>
      <sheetName val="29"/>
      <sheetName val="30"/>
      <sheetName val="Jeunesse"/>
      <sheetName val="G31"/>
      <sheetName val="31"/>
      <sheetName val="G32"/>
      <sheetName val="32"/>
      <sheetName val="G33"/>
      <sheetName val="33"/>
      <sheetName val="34"/>
      <sheetName val="Culture"/>
      <sheetName val="G35"/>
      <sheetName val="35"/>
      <sheetName val="SP"/>
      <sheetName val="Agric"/>
      <sheetName val="G36"/>
      <sheetName val="36"/>
      <sheetName val="G37"/>
      <sheetName val="37"/>
      <sheetName val="38"/>
      <sheetName val="39"/>
      <sheetName val="40"/>
      <sheetName val="G41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Pêche"/>
      <sheetName val="G52"/>
      <sheetName val="52"/>
      <sheetName val="Energie"/>
      <sheetName val="53"/>
      <sheetName val="54"/>
      <sheetName val="55"/>
      <sheetName val="56"/>
      <sheetName val="57"/>
      <sheetName val="Env"/>
      <sheetName val="58"/>
      <sheetName val="G59"/>
      <sheetName val="59"/>
      <sheetName val="Ind"/>
      <sheetName val="60"/>
      <sheetName val="61"/>
      <sheetName val="G62"/>
      <sheetName val="62"/>
      <sheetName val="63"/>
      <sheetName val="Tourisme"/>
      <sheetName val="G64"/>
      <sheetName val="64"/>
      <sheetName val="65"/>
      <sheetName val="66"/>
      <sheetName val="67"/>
      <sheetName val="Transp"/>
      <sheetName val="68"/>
      <sheetName val="69"/>
      <sheetName val="70"/>
      <sheetName val="71"/>
      <sheetName val="72"/>
      <sheetName val="Poste"/>
      <sheetName val="G73"/>
      <sheetName val="73"/>
      <sheetName val="74"/>
      <sheetName val="75"/>
      <sheetName val="Commerce"/>
      <sheetName val="76"/>
      <sheetName val="77"/>
      <sheetName val="78"/>
      <sheetName val="79"/>
      <sheetName val="QR-Code"/>
      <sheetName val="80"/>
    </sheetNames>
    <sheetDataSet>
      <sheetData sheetId="0" refreshError="1"/>
      <sheetData sheetId="1" refreshError="1"/>
      <sheetData sheetId="2">
        <row r="3">
          <cell r="C3" t="str">
            <v>تقديم الولاية</v>
          </cell>
          <cell r="D3">
            <v>1</v>
          </cell>
          <cell r="E3" t="str">
            <v>Présentation du gouvernorat</v>
          </cell>
        </row>
        <row r="4">
          <cell r="C4" t="str">
            <v>أهم المؤشرات الاجتماعية والاقتصادية</v>
          </cell>
          <cell r="D4">
            <v>2</v>
          </cell>
          <cell r="E4" t="str">
            <v>Principaux indicateurs socio-économiques</v>
          </cell>
        </row>
        <row r="5">
          <cell r="C5" t="str">
            <v>السكان وظروف عيش الأسر</v>
          </cell>
          <cell r="E5" t="str">
            <v>Population et conditions de vie des ménages</v>
          </cell>
        </row>
        <row r="6">
          <cell r="C6" t="str">
            <v>تطور عدد السكان حسب المعتمدية</v>
          </cell>
          <cell r="D6">
            <v>3</v>
          </cell>
          <cell r="E6" t="str">
            <v>Evolution de la population par délégation</v>
          </cell>
        </row>
        <row r="7">
          <cell r="C7" t="str">
            <v>تطور عدد السكان حسب البلدية</v>
          </cell>
          <cell r="D7">
            <v>4</v>
          </cell>
          <cell r="E7" t="str">
            <v>Evolution de la population par commune</v>
          </cell>
        </row>
        <row r="8">
          <cell r="C8" t="str">
            <v>تطور أهم مؤشرات ظروف عيش الأسر</v>
          </cell>
          <cell r="D8">
            <v>5</v>
          </cell>
          <cell r="E8" t="str">
            <v>Evolution des principaux indicateurs de conditions de vie des ménages</v>
          </cell>
        </row>
        <row r="9">
          <cell r="C9" t="str">
            <v>النهوض الاجتماعي</v>
          </cell>
          <cell r="D9">
            <v>6</v>
          </cell>
          <cell r="E9" t="str">
            <v>Promotion sociale</v>
          </cell>
        </row>
        <row r="10">
          <cell r="C10" t="str">
            <v>القطاعات الاجتماعية</v>
          </cell>
          <cell r="E10" t="str">
            <v>Les secteurs sociaux</v>
          </cell>
        </row>
        <row r="11">
          <cell r="C11" t="str">
            <v>التعليم</v>
          </cell>
          <cell r="E11" t="str">
            <v>L'Education</v>
          </cell>
        </row>
        <row r="12">
          <cell r="C12" t="str">
            <v>تطور عدد المدارس والقاعات بالمرحلة الأولى من التعليم الأساسي</v>
          </cell>
          <cell r="D12">
            <v>7</v>
          </cell>
          <cell r="E12" t="str">
            <v xml:space="preserve">Evolution du nombre des écoles et des salles d’études du 1er cycle de l'enseignement de base </v>
          </cell>
        </row>
        <row r="13">
          <cell r="C13" t="str">
            <v>تطور عدد المدارس الإعدادية والمعاهد الثانوية وقاعات التدريس بالمرحلة الثانية من التعليم الأساسي والتعليم الثانوي</v>
          </cell>
          <cell r="D13">
            <v>8</v>
          </cell>
          <cell r="E13" t="str">
            <v>Evolution du nombre des écoles préparatoires et des lycées et des salles d’études du 2ème cycle de l'enseignement de base et de l'enseignement secondaire</v>
          </cell>
        </row>
        <row r="14">
          <cell r="C14" t="str">
            <v>تطور عدد التلاميذ والمدرسين بالمرحلة الأولى من التعليم الأساسي</v>
          </cell>
          <cell r="D14">
            <v>9</v>
          </cell>
          <cell r="E14" t="str">
            <v>Evolution du nombre des élèves et des enseignants du 1er cycle de l'enseignement de base</v>
          </cell>
        </row>
        <row r="15">
          <cell r="C15" t="str">
            <v>تطور عدد التلاميذ والمدرسين بالمرحلة الثانية من التعليم الأساسي والتعليم الثانوي</v>
          </cell>
          <cell r="D15">
            <v>10</v>
          </cell>
          <cell r="E15" t="str">
            <v>Evolution du nombre des élèves et des enseignants du 2ème cycle de l'enseignement de base et l'enseignement secondaire</v>
          </cell>
        </row>
        <row r="16">
          <cell r="C16" t="str">
            <v>تطور مؤشرات المرحلة الأولى من التعليم الأساسي</v>
          </cell>
          <cell r="D16">
            <v>11</v>
          </cell>
          <cell r="E16" t="str">
            <v>Evolution des indicateurs du 1er cycle de l'enseignement de base</v>
          </cell>
        </row>
        <row r="17">
          <cell r="C17" t="str">
            <v>تطور مؤشرات المرحلة الثانية من التعليم الأساسي والتعليم الثانوي</v>
          </cell>
          <cell r="D17">
            <v>12</v>
          </cell>
          <cell r="E17" t="str">
            <v>Evolution des indicateurs du 2ème cycle de l'enseignement de base et de l'enseignement secondaire</v>
          </cell>
        </row>
        <row r="18">
          <cell r="C18" t="str">
            <v>تطور نسب النجاح إلى السنة الأولى ثانوي والباكالوريا</v>
          </cell>
          <cell r="D18">
            <v>13</v>
          </cell>
          <cell r="E18" t="str">
            <v>Evolution des taux de réussite pour la 1ère année de l’enseignement secondaire et du bac</v>
          </cell>
        </row>
        <row r="19">
          <cell r="C19" t="str">
            <v>تطور عدد المنقطعين بمختلف مراحل التعليم</v>
          </cell>
          <cell r="D19">
            <v>14</v>
          </cell>
          <cell r="E19" t="str">
            <v>Evolution des abandons dans les différents cycles de l’enseignement</v>
          </cell>
        </row>
        <row r="20">
          <cell r="C20" t="str">
            <v>تطور أهم مؤشرات المرحلة الثانية من التعليم الأساسي والثانوي الخاص</v>
          </cell>
          <cell r="D20">
            <v>15</v>
          </cell>
          <cell r="E20" t="str">
            <v>Evolution des indicateurs du 2ème cycle de base et de l’enseignement secondaire privé</v>
          </cell>
        </row>
        <row r="21">
          <cell r="C21" t="str">
            <v>التعليم العالي</v>
          </cell>
          <cell r="E21" t="str">
            <v>Enseignement Supérieur</v>
          </cell>
        </row>
        <row r="22">
          <cell r="C22" t="str">
            <v>تطور عدد الطلبة حسب المؤسسات الجامعيّة</v>
          </cell>
          <cell r="D22">
            <v>16</v>
          </cell>
          <cell r="E22" t="str">
            <v>Evolution du nombre des étudiants selon les établissements universitaires</v>
          </cell>
        </row>
        <row r="23">
          <cell r="C23" t="str">
            <v>تطور مؤشرات التعليم العالي</v>
          </cell>
          <cell r="D23">
            <v>17</v>
          </cell>
          <cell r="E23" t="str">
            <v>Evolution des indicateurs de l'enseignement supérieur</v>
          </cell>
        </row>
        <row r="24">
          <cell r="C24" t="str">
            <v>التكوين المهني</v>
          </cell>
          <cell r="E24" t="str">
            <v>Formation professionnelle</v>
          </cell>
        </row>
        <row r="25">
          <cell r="C25" t="str">
            <v>تطور مؤشرات التكوين المهني (الوكالة التونسية للتكوين المهني)</v>
          </cell>
          <cell r="D25">
            <v>18</v>
          </cell>
          <cell r="E25" t="str">
            <v>Evolution des indicateurs de la formation professionnelle (A.T.F.P)</v>
          </cell>
        </row>
        <row r="26">
          <cell r="C26" t="str">
            <v>تطور مؤشرات التكوين المهني (الوكالة التونسية للتكوين المهني)</v>
          </cell>
          <cell r="D26">
            <v>19</v>
          </cell>
          <cell r="E26" t="str">
            <v>Evolution des indicateurs de la formation professionnelle (A.T.F.P)</v>
          </cell>
        </row>
        <row r="27">
          <cell r="C27" t="str">
            <v>تطور مؤشرات التكوين المهني (المراكز العمومية)</v>
          </cell>
          <cell r="D27">
            <v>20</v>
          </cell>
          <cell r="E27" t="str">
            <v>Evolution des indicateurs de la formation professionnelle (Centres publics)</v>
          </cell>
        </row>
        <row r="28">
          <cell r="C28" t="str">
            <v>تطور مؤشرات التكوين المهني (المراكز العمومية)</v>
          </cell>
          <cell r="D28">
            <v>21</v>
          </cell>
          <cell r="E28" t="str">
            <v>Evolution des indicateurs de formation professionnelle (Centres publics)</v>
          </cell>
        </row>
        <row r="29">
          <cell r="C29" t="str">
            <v>التشغيل</v>
          </cell>
          <cell r="E29" t="str">
            <v>Emploi</v>
          </cell>
        </row>
        <row r="30">
          <cell r="C30" t="str">
            <v>تطور طلبات وعروض الشغل لفائدة الإطارات</v>
          </cell>
          <cell r="D30">
            <v>22</v>
          </cell>
          <cell r="E30" t="str">
            <v>Evolution des demandes et des offres d'emploi (catégorie cadres)</v>
          </cell>
        </row>
        <row r="31">
          <cell r="C31" t="str">
            <v>تطور طلبات وعروض الشغل لفائدة غير الإطارات</v>
          </cell>
          <cell r="D31">
            <v>23</v>
          </cell>
          <cell r="E31" t="str">
            <v>Evolution des demandes et des offres d'emploi (catégorie non cadres)</v>
          </cell>
        </row>
        <row r="32">
          <cell r="C32" t="str">
            <v>الصحة</v>
          </cell>
          <cell r="E32" t="str">
            <v>La Santé</v>
          </cell>
        </row>
        <row r="33">
          <cell r="C33" t="str">
            <v>التجهيزات الصحية بالقطاع العام (الجزء الأول)</v>
          </cell>
          <cell r="D33">
            <v>24</v>
          </cell>
          <cell r="E33" t="str">
            <v>Equipements sanitaires dans le secteur public (partie 1)</v>
          </cell>
        </row>
        <row r="34">
          <cell r="C34" t="str">
            <v xml:space="preserve">التجهيزات الصحية بالقطاع العام (الجزء الثاني) </v>
          </cell>
          <cell r="D34">
            <v>25</v>
          </cell>
          <cell r="E34" t="str">
            <v>Equipements sanitaires dans le secteur public (partie 2)</v>
          </cell>
        </row>
        <row r="35">
          <cell r="C35" t="str">
            <v>التجهيزات الصحية بالقطاع الخاص (الجزء الأول)</v>
          </cell>
          <cell r="D35">
            <v>26</v>
          </cell>
          <cell r="E35" t="str">
            <v>Equipements sanitaires dans le secteur privé (partie 1)</v>
          </cell>
        </row>
        <row r="36">
          <cell r="C36" t="str">
            <v>التجهيزات الصحية بالقطاع الخاص (الجزء الثاني)</v>
          </cell>
          <cell r="D36">
            <v>27</v>
          </cell>
          <cell r="E36" t="str">
            <v>Equipements sanitaires dans le secteur privé (partie 2)</v>
          </cell>
        </row>
        <row r="37">
          <cell r="C37" t="str">
            <v>الإطار الطبي بالقطاع العام</v>
          </cell>
          <cell r="D37">
            <v>28</v>
          </cell>
          <cell r="E37" t="str">
            <v>Le personnel médical dans le secteur public</v>
          </cell>
        </row>
        <row r="38">
          <cell r="C38" t="str">
            <v>الإطار الطبي بالقطاع الخاص</v>
          </cell>
          <cell r="D38">
            <v>29</v>
          </cell>
          <cell r="E38" t="str">
            <v>Le personnel médical dans le secteur privé</v>
          </cell>
        </row>
        <row r="39">
          <cell r="C39" t="str">
            <v>الإطار شبه الطبي بالقطاع العام</v>
          </cell>
          <cell r="D39">
            <v>30</v>
          </cell>
          <cell r="E39" t="str">
            <v>Le personnel paramédical dans le secteur public</v>
          </cell>
        </row>
        <row r="40">
          <cell r="C40" t="str">
            <v>الشباب والطفولة</v>
          </cell>
          <cell r="E40" t="str">
            <v>Jeunesse et enfance</v>
          </cell>
        </row>
        <row r="41">
          <cell r="C41" t="str">
            <v>الفضاءات الشبابية</v>
          </cell>
          <cell r="D41">
            <v>31</v>
          </cell>
          <cell r="E41" t="str">
            <v>Espaces de la jeunesse</v>
          </cell>
        </row>
        <row r="42">
          <cell r="C42" t="str">
            <v xml:space="preserve">فضاءات الطفولة </v>
          </cell>
          <cell r="D42">
            <v>32</v>
          </cell>
          <cell r="E42" t="str">
            <v>Espaces de l'enfance</v>
          </cell>
        </row>
        <row r="43">
          <cell r="C43" t="str">
            <v>الفضاءات الرياضية</v>
          </cell>
          <cell r="D43">
            <v>33</v>
          </cell>
          <cell r="E43" t="str">
            <v>Espaces sportifs</v>
          </cell>
        </row>
        <row r="44">
          <cell r="C44" t="str">
            <v>الجمعيات الرياضية المدنية</v>
          </cell>
          <cell r="D44">
            <v>34</v>
          </cell>
          <cell r="E44" t="str">
            <v>Associations sportives civiles</v>
          </cell>
        </row>
        <row r="45">
          <cell r="C45" t="str">
            <v>الثقافة</v>
          </cell>
          <cell r="E45" t="str">
            <v>Culture</v>
          </cell>
        </row>
        <row r="46">
          <cell r="C46" t="str">
            <v>الفضاءات الثقافية</v>
          </cell>
          <cell r="D46">
            <v>35</v>
          </cell>
          <cell r="E46" t="str">
            <v>Espaces culturels</v>
          </cell>
        </row>
        <row r="47">
          <cell r="C47" t="str">
            <v>القطاعات المنتجة</v>
          </cell>
          <cell r="E47" t="str">
            <v>Les secteurs productifs</v>
          </cell>
        </row>
        <row r="48">
          <cell r="C48" t="str">
            <v>الفلاحة</v>
          </cell>
          <cell r="E48" t="str">
            <v>Agriculture</v>
          </cell>
        </row>
        <row r="49">
          <cell r="C49" t="str">
            <v>تطور استغلال البحيرات الجبلية</v>
          </cell>
          <cell r="D49">
            <v>36</v>
          </cell>
          <cell r="E49" t="str">
            <v>Evolution de l'exploitation des lacs collinaires</v>
          </cell>
        </row>
        <row r="50">
          <cell r="C50" t="str">
            <v>تطور استغلال السدود الكبرى والسدود الجبلية</v>
          </cell>
          <cell r="D50">
            <v>37</v>
          </cell>
          <cell r="E50" t="str">
            <v>Evolution de l'exploitation des grands barrages et des barrages collinaires</v>
          </cell>
        </row>
        <row r="51">
          <cell r="C51" t="str">
            <v>تطور الموارد المائية حسب المائدة السطحية</v>
          </cell>
          <cell r="D51">
            <v>38</v>
          </cell>
          <cell r="E51" t="str">
            <v>Evolution des Ressources Hydriques par Nappe Phréatique</v>
          </cell>
        </row>
        <row r="52">
          <cell r="C52" t="str">
            <v>تطور الموارد المائية حسب المائـدة العميقـة</v>
          </cell>
          <cell r="D52">
            <v>39</v>
          </cell>
          <cell r="E52" t="str">
            <v>Evolution des Ressources Hydriques par Nappe Profonde</v>
          </cell>
        </row>
        <row r="53">
          <cell r="C53" t="str">
            <v>تطور مساحة الأراضي الفلاحية حسب المؤهلات</v>
          </cell>
          <cell r="D53">
            <v>40</v>
          </cell>
          <cell r="E53" t="str">
            <v>Evolution de la superficie des Terres Agricoles selon la Vocation</v>
          </cell>
        </row>
        <row r="54">
          <cell r="C54" t="str">
            <v>تطور المساحات السقوية العمومية حسب المعتمدية</v>
          </cell>
          <cell r="D54">
            <v>41</v>
          </cell>
          <cell r="E54" t="str">
            <v>Evolution des Périmètres publics Irrigués selon la Délégation</v>
          </cell>
        </row>
        <row r="55">
          <cell r="C55" t="str">
            <v>تطور المساحات السقوية الخاصة حسب المعتمدية</v>
          </cell>
          <cell r="D55">
            <v>42</v>
          </cell>
          <cell r="E55" t="str">
            <v>Evolution des Périmètres Irrigués privés selon la Délégation</v>
          </cell>
        </row>
        <row r="56">
          <cell r="C56" t="str">
            <v>تطور مؤشرات المساحات السقوية</v>
          </cell>
          <cell r="D56">
            <v>43</v>
          </cell>
          <cell r="E56" t="str">
            <v>Evolution des indicateurs des périmètres irrigués</v>
          </cell>
        </row>
        <row r="57">
          <cell r="C57" t="str">
            <v>تطور الإنتاج النباتي حسب الصنف</v>
          </cell>
          <cell r="D57">
            <v>44</v>
          </cell>
          <cell r="E57" t="str">
            <v>Evolution de la Production Végétale selon l'Espèce</v>
          </cell>
        </row>
        <row r="58">
          <cell r="C58" t="str">
            <v>تطور الإنتاج النباتي حسب الصنف</v>
          </cell>
          <cell r="D58">
            <v>45</v>
          </cell>
          <cell r="E58" t="str">
            <v>Evolution de la Production Végétale selon l'Espèce</v>
          </cell>
        </row>
        <row r="59">
          <cell r="C59" t="str">
            <v>تطور المساحات المستغلة حسب الصنف</v>
          </cell>
          <cell r="D59">
            <v>46</v>
          </cell>
          <cell r="E59" t="str">
            <v>Evolution des superficies exploitées selon l'Espèce</v>
          </cell>
        </row>
        <row r="60">
          <cell r="C60" t="str">
            <v>تطور المساحات المستغلة حسب الصنف</v>
          </cell>
          <cell r="D60">
            <v>47</v>
          </cell>
          <cell r="E60" t="str">
            <v>Evolution des superficies exploitées selon l'Espèce</v>
          </cell>
        </row>
        <row r="61">
          <cell r="C61" t="str">
            <v>تطور تربية الماشية حسب الصنف</v>
          </cell>
          <cell r="D61">
            <v>48</v>
          </cell>
          <cell r="E61" t="str">
            <v>Evolution du Cheptel selon l'Espèce</v>
          </cell>
        </row>
        <row r="62">
          <cell r="C62" t="str">
            <v>تطور تربية الماشية حسب الصنف</v>
          </cell>
          <cell r="D62">
            <v>49</v>
          </cell>
          <cell r="E62" t="str">
            <v>Evolution du Cheptel selon l'Espèce</v>
          </cell>
        </row>
        <row r="63">
          <cell r="C63" t="str">
            <v>تطور الإنتاج الحيواني حسب الصنف</v>
          </cell>
          <cell r="D63">
            <v>50</v>
          </cell>
          <cell r="E63" t="str">
            <v>Evolution de la Production Animale selon l'Espèce</v>
          </cell>
        </row>
        <row r="64">
          <cell r="C64" t="str">
            <v>تطور و توزيع الاستثمارات المصادق عليها من صنفي "ب" و "ج"</v>
          </cell>
          <cell r="D64">
            <v>51</v>
          </cell>
          <cell r="E64" t="str">
            <v>Evolution et répartition des investissements des catégories "B" et "C"</v>
          </cell>
        </row>
        <row r="65">
          <cell r="C65" t="str">
            <v>الصيد البحري</v>
          </cell>
          <cell r="E65" t="str">
            <v>La pêche</v>
          </cell>
        </row>
        <row r="66">
          <cell r="C66" t="str">
            <v>تطور أسطول وإنتاج الصيد البحري حسب الميناء</v>
          </cell>
          <cell r="D66">
            <v>52</v>
          </cell>
          <cell r="E66" t="str">
            <v>Evolution des flottilles et de production de la pêche selon le port</v>
          </cell>
        </row>
        <row r="67">
          <cell r="C67" t="str">
            <v>الطاقة</v>
          </cell>
          <cell r="E67" t="str">
            <v>Energie</v>
          </cell>
        </row>
        <row r="68">
          <cell r="C68" t="str">
            <v>استهلاك الطاقة الكهربائية (ضغط متوسط)</v>
          </cell>
          <cell r="D68">
            <v>53</v>
          </cell>
          <cell r="E68" t="str">
            <v>Consommation de l'énergie électrique (Moyenne tension)</v>
          </cell>
        </row>
        <row r="69">
          <cell r="C69" t="str">
            <v>استهلاك الطاقة الكهربائية (ضغط منخفض)</v>
          </cell>
          <cell r="D69">
            <v>54</v>
          </cell>
          <cell r="E69" t="str">
            <v>Consommation de l'énergie électrique (Basse tension)</v>
          </cell>
        </row>
        <row r="70">
          <cell r="C70" t="str">
            <v>استهلاك الغاز وعدد المشتركين (ضغط منخفض)</v>
          </cell>
          <cell r="D70">
            <v>55</v>
          </cell>
          <cell r="E70" t="str">
            <v>Consommation du gaz de ville et nombre d'abonnés (Basse tension)</v>
          </cell>
        </row>
        <row r="71">
          <cell r="C71" t="str">
            <v>استهلاك الغاز وعدد المشتركين (ضغط متوسط)</v>
          </cell>
          <cell r="D71">
            <v>56</v>
          </cell>
          <cell r="E71" t="str">
            <v>Consommation du gaz de ville et nombre d'abonnés (Moyenne tension)</v>
          </cell>
        </row>
        <row r="72">
          <cell r="C72" t="str">
            <v>استهلاك الماء الصالح للشرب حسب الاستعمال</v>
          </cell>
          <cell r="D72">
            <v>57</v>
          </cell>
          <cell r="E72" t="str">
            <v>Consommation de l'eau potable selon l’usage</v>
          </cell>
        </row>
        <row r="73">
          <cell r="C73" t="str">
            <v>البيئة ونوعية الحياة</v>
          </cell>
          <cell r="E73" t="str">
            <v>Environnement et Qualité de la vie</v>
          </cell>
        </row>
        <row r="74">
          <cell r="C74" t="str">
            <v xml:space="preserve">مؤشرات بيئية </v>
          </cell>
          <cell r="D74">
            <v>58</v>
          </cell>
          <cell r="E74" t="str">
            <v>Indicateurs d’environnement</v>
          </cell>
        </row>
        <row r="75">
          <cell r="C75" t="str">
            <v>تطور عدد المشتركين ومحطات التطهير والضخ</v>
          </cell>
          <cell r="D75">
            <v>59</v>
          </cell>
          <cell r="E75" t="str">
            <v>Evolution du nombre des abonnés, des stations d’épuration et de pompage</v>
          </cell>
        </row>
        <row r="76">
          <cell r="C76" t="str">
            <v>الصناعة والمناطق الصناعية</v>
          </cell>
          <cell r="E76" t="str">
            <v>Industrie et Zones Industrielles</v>
          </cell>
        </row>
        <row r="77">
          <cell r="C77" t="str">
            <v>توزيع المؤسسات الصناعية</v>
          </cell>
          <cell r="D77">
            <v>60</v>
          </cell>
          <cell r="E77" t="str">
            <v>Répartition des entreprises industrielles</v>
          </cell>
        </row>
        <row r="78">
          <cell r="C78" t="str">
            <v>توزيع اليد العاملة الصناعية</v>
          </cell>
          <cell r="D78">
            <v>61</v>
          </cell>
          <cell r="E78" t="str">
            <v>Répartition des employés industriels</v>
          </cell>
        </row>
        <row r="79">
          <cell r="C79" t="str">
            <v>معطيات حول المناطق الصناعية (المساحة والمقاسم)</v>
          </cell>
          <cell r="D79">
            <v>62</v>
          </cell>
          <cell r="E79" t="str">
            <v>Zones Industrielles (Superficies + Lotissements)</v>
          </cell>
        </row>
        <row r="80">
          <cell r="C80" t="str">
            <v>المؤسسات بالمناطق الصناعية حسب الجنسية ونظام التصدير</v>
          </cell>
          <cell r="D80">
            <v>63</v>
          </cell>
          <cell r="E80" t="str">
            <v>Répartition des entreprises selon la nationalité et le régime d'exportation</v>
          </cell>
        </row>
        <row r="81">
          <cell r="C81" t="str">
            <v>السياحة والصناعات التقليدية</v>
          </cell>
          <cell r="E81" t="str">
            <v>Tourisme et artisanat</v>
          </cell>
        </row>
        <row r="82">
          <cell r="C82" t="str">
            <v>تطور عدد الوحدات السياحية</v>
          </cell>
          <cell r="D82">
            <v>64</v>
          </cell>
          <cell r="E82" t="str">
            <v>Evolution du nombre d'unités Hôtelières</v>
          </cell>
        </row>
        <row r="83">
          <cell r="C83" t="str">
            <v>تطور عدد الإقامات السياحية</v>
          </cell>
          <cell r="D83">
            <v>65</v>
          </cell>
          <cell r="E83" t="str">
            <v>Evolution du nombre des pensions hôtelières</v>
          </cell>
        </row>
        <row r="84">
          <cell r="C84" t="str">
            <v>تطور مؤشرات الاستغلال والإقامة</v>
          </cell>
          <cell r="D84">
            <v>66</v>
          </cell>
          <cell r="E84" t="str">
            <v>Evolution des indicateurs d'exploitation et de séjour</v>
          </cell>
        </row>
        <row r="85">
          <cell r="C85" t="str">
            <v>الصناعات التقليدية</v>
          </cell>
          <cell r="D85">
            <v>67</v>
          </cell>
          <cell r="E85" t="str">
            <v xml:space="preserve">L'artisanat </v>
          </cell>
        </row>
        <row r="86">
          <cell r="C86" t="str">
            <v>النقل والطرقات</v>
          </cell>
          <cell r="E86" t="str">
            <v>Transport et réseau routier</v>
          </cell>
        </row>
        <row r="87">
          <cell r="C87" t="str">
            <v>تطور شبكــة الطرقـــــات</v>
          </cell>
          <cell r="D87">
            <v>68</v>
          </cell>
          <cell r="E87" t="str">
            <v>Evolution du réseau routier</v>
          </cell>
        </row>
        <row r="88">
          <cell r="C88" t="str">
            <v xml:space="preserve">تطور شبكــة الطرقـــــات المرقمة </v>
          </cell>
          <cell r="D88">
            <v>69</v>
          </cell>
          <cell r="E88" t="str">
            <v>Evolution du réseau routier classé</v>
          </cell>
        </row>
        <row r="89">
          <cell r="C89" t="str">
            <v>تطور عدد الرخص المسندة للنقل البرّي</v>
          </cell>
          <cell r="D89">
            <v>70</v>
          </cell>
          <cell r="E89" t="str">
            <v>Evolution de nombre des autorisations accordées au transport terrestre</v>
          </cell>
        </row>
        <row r="90">
          <cell r="C90" t="str">
            <v>تطور النقل الحديدي حسب المحطة</v>
          </cell>
          <cell r="D90">
            <v>71</v>
          </cell>
          <cell r="E90" t="str">
            <v>Evolution du Transport ferroviaire selon la station</v>
          </cell>
        </row>
        <row r="91">
          <cell r="C91" t="str">
            <v>الشركة الجهوية للنقل بنابل ( الأسطول والنشاط)</v>
          </cell>
          <cell r="D91">
            <v>72</v>
          </cell>
          <cell r="E91" t="str">
            <v>Société régionale du transport de Nabeul (Bus et activités)</v>
          </cell>
        </row>
        <row r="92">
          <cell r="C92" t="str">
            <v>البريد والاتصالات</v>
          </cell>
          <cell r="E92" t="str">
            <v>Poste et Télécommunication</v>
          </cell>
        </row>
        <row r="93">
          <cell r="C93" t="str">
            <v>البريد (البنى التحتية)</v>
          </cell>
          <cell r="D93">
            <v>73</v>
          </cell>
          <cell r="E93" t="str">
            <v>La poste (Infrastructure de base)</v>
          </cell>
        </row>
        <row r="94">
          <cell r="C94" t="str">
            <v>خدمات البريد(العمليات المالية)</v>
          </cell>
          <cell r="D94">
            <v>74</v>
          </cell>
          <cell r="E94" t="str">
            <v>Service de la poste (Opérations financières)</v>
          </cell>
        </row>
        <row r="95">
          <cell r="C95" t="str">
            <v>الاتصالات (الشبكة والمشتركين)</v>
          </cell>
          <cell r="D95">
            <v>75</v>
          </cell>
          <cell r="E95" t="str">
            <v>Télécommunication (Réseau et abonnés)</v>
          </cell>
        </row>
        <row r="96">
          <cell r="C96" t="str">
            <v>التجارة والقطاع المصرفي</v>
          </cell>
          <cell r="E96" t="str">
            <v>Commerce et institutions financières</v>
          </cell>
        </row>
        <row r="97">
          <cell r="C97" t="str">
            <v>تطور عدد نقاط البيع حسب النشاط التجاري</v>
          </cell>
          <cell r="D97">
            <v>76</v>
          </cell>
          <cell r="E97" t="str">
            <v>Evolution des Points de Vente selon l'Activité Commerciale</v>
          </cell>
        </row>
        <row r="98">
          <cell r="C98" t="str">
            <v xml:space="preserve">تطور عدد وكالات الجهاز المصرفي </v>
          </cell>
          <cell r="D98">
            <v>77</v>
          </cell>
          <cell r="E98" t="str">
            <v xml:space="preserve">Evolution des Agences bancaires </v>
          </cell>
        </row>
        <row r="99">
          <cell r="C99" t="str">
            <v xml:space="preserve">المشاريع الممولة من بنك تمويل المؤسسات الصغرى و المتوسطة </v>
          </cell>
          <cell r="D99">
            <v>78</v>
          </cell>
          <cell r="E99" t="str">
            <v>Projets financés par la BFPME</v>
          </cell>
        </row>
        <row r="100">
          <cell r="C100" t="str">
            <v>تطور تدخلات البنك التونسي للتضامن</v>
          </cell>
          <cell r="D100">
            <v>79</v>
          </cell>
          <cell r="E100" t="str">
            <v>Evolution de l’activité de la Banque Tunisienne de solidarité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02"/>
      <sheetName val="03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zTN 2010 (9)"/>
    </sheetNames>
    <sheetDataSet>
      <sheetData sheetId="0"/>
      <sheetData sheetId="1"/>
      <sheetData sheetId="2">
        <row r="2">
          <cell r="B2" t="str">
            <v>تقديم الولاية</v>
          </cell>
          <cell r="D2" t="str">
            <v>Présentation du gouvernorat</v>
          </cell>
        </row>
        <row r="3">
          <cell r="B3" t="str">
            <v>أهم المؤشرات الاجتماعية والاقتصادية</v>
          </cell>
          <cell r="D3" t="str">
            <v>Principaux indicateurs socio-économiques</v>
          </cell>
        </row>
        <row r="4">
          <cell r="B4" t="str">
            <v>خصائص السكان</v>
          </cell>
          <cell r="D4" t="str">
            <v>Caractéristiques de la population</v>
          </cell>
        </row>
        <row r="5">
          <cell r="B5" t="str">
            <v xml:space="preserve">تطور عدد السكان حسب المعتمدية </v>
          </cell>
          <cell r="D5" t="str">
            <v>Evolution de la population par délégation</v>
          </cell>
        </row>
        <row r="6">
          <cell r="B6" t="str">
            <v xml:space="preserve">تطور عدد السكان حسب البلدية </v>
          </cell>
          <cell r="D6" t="str">
            <v>Evolution de la population par commune</v>
          </cell>
        </row>
        <row r="7">
          <cell r="B7" t="str">
            <v xml:space="preserve">تطور أهم مؤشرات ظروف عيش الأسر </v>
          </cell>
          <cell r="D7" t="str">
            <v>Evolution des principaux indicateurs de conditions de vie des ménages</v>
          </cell>
        </row>
        <row r="8">
          <cell r="B8" t="str">
            <v>القطاعات الاجتماعية</v>
          </cell>
          <cell r="D8" t="str">
            <v>Les secteurs sociaux</v>
          </cell>
        </row>
        <row r="9">
          <cell r="B9" t="str">
            <v>التعليم</v>
          </cell>
          <cell r="D9" t="str">
            <v>L'Education</v>
          </cell>
        </row>
        <row r="10">
          <cell r="B10" t="str">
            <v xml:space="preserve">تطور عدد المدارس والقاعات بالمرحلة الأولى من التعليم الأساسي </v>
          </cell>
          <cell r="D10" t="str">
            <v xml:space="preserve">Evolution du nombre des écoles et des salles d’études du 1er cycle de l'enseignement de base </v>
          </cell>
        </row>
        <row r="11">
          <cell r="B11" t="str">
            <v xml:space="preserve">تطور عدد المدارس الإعدادية والمعاهد الثانوية وقاعات التدريس بالمرحلة الثانية من التعليم الأساسي والتعليم الثانوي </v>
          </cell>
          <cell r="D11" t="str">
            <v xml:space="preserve">Evolution du nombre des écoles préparatoires et des lycées et des salles d’études du 2ème cycle de l'enseignement de base et de l'enseignement secondaire </v>
          </cell>
        </row>
        <row r="12">
          <cell r="B12" t="str">
            <v xml:space="preserve">تطور عدد التلاميذ والمدرسين بالمرحلة الأولى من التعليم الأساسي </v>
          </cell>
          <cell r="D12" t="str">
            <v xml:space="preserve">Evolution du nombre des élèves et des enseignants du 1er cycle de l'enseignement de base </v>
          </cell>
        </row>
        <row r="13">
          <cell r="B13" t="str">
            <v xml:space="preserve">تطور عدد التلاميذ والمدرسين بالمرحلة الثانية من التعليم الأساسي والتعليم الثانوي </v>
          </cell>
          <cell r="D13" t="str">
            <v xml:space="preserve">Evolution du nombre des élèves et des enseignants du 2ème cycle de l'enseignement de base et l'enseignement secondaire </v>
          </cell>
        </row>
        <row r="14">
          <cell r="B14" t="str">
            <v xml:space="preserve">تطور مؤشرات المرحلة الأولى من التعليم الأساسي </v>
          </cell>
          <cell r="D14" t="str">
            <v>Evolution des indicateurs du 1er cycle de l'enseignement de base</v>
          </cell>
        </row>
        <row r="15">
          <cell r="B15" t="str">
            <v>تطور مؤشرات المرحلة الثانية من التعليم الأساسي والتعليم الثانوي</v>
          </cell>
          <cell r="D15" t="str">
            <v>Evolution des indicateurs du 2ème cycle de l'enseignement de base et de l'enseignement secondaire</v>
          </cell>
        </row>
        <row r="16">
          <cell r="B16" t="str">
            <v xml:space="preserve">تطور نسب النجاح إلى السنة الأولى ثانوي والباكالوريا </v>
          </cell>
          <cell r="D16" t="str">
            <v>Evolution des taux de réussite pour la 1ère année de l’enseignement secondaire et du bac</v>
          </cell>
        </row>
        <row r="17">
          <cell r="B17" t="str">
            <v xml:space="preserve">تطور عدد المنقطعين بمختلف مراحل التعليم </v>
          </cell>
          <cell r="D17" t="str">
            <v xml:space="preserve">Evolution des abandons dans les différents cycles de l’enseignement </v>
          </cell>
        </row>
        <row r="18">
          <cell r="B18" t="str">
            <v>التعليم العالي</v>
          </cell>
          <cell r="D18" t="str">
            <v>Enseignement Supérieur</v>
          </cell>
        </row>
        <row r="19">
          <cell r="B19" t="str">
            <v>تطور عدد الطلبة حسب المؤسسات الجامعيّة</v>
          </cell>
          <cell r="D19" t="str">
            <v>Evolution du nombre des étudiants selon les établissements universitaires</v>
          </cell>
        </row>
        <row r="20">
          <cell r="B20" t="str">
            <v>التكوين المهني</v>
          </cell>
          <cell r="D20" t="str">
            <v>Formation professionnelle</v>
          </cell>
        </row>
        <row r="21">
          <cell r="B21" t="str">
            <v>تطور مؤشرات التكوين المهني (الوكالة التونسية للتكوين المهني)</v>
          </cell>
          <cell r="D21" t="str">
            <v>Evolution des indicateurs de la formation professionnelle (A.T.F.P)</v>
          </cell>
        </row>
        <row r="22">
          <cell r="B22" t="str">
            <v>الصحة</v>
          </cell>
          <cell r="D22" t="str">
            <v>La Santé</v>
          </cell>
        </row>
        <row r="23">
          <cell r="B23" t="str">
            <v>التجهيزات الصحية بالقطاع العام (الجزء الأول)</v>
          </cell>
          <cell r="D23" t="str">
            <v>Equipements sanitaires dans le secteur public (partie 1)</v>
          </cell>
        </row>
        <row r="24">
          <cell r="B24" t="str">
            <v xml:space="preserve">التجهيزات الصحية بالقطاع العام (الجزء الثاني) </v>
          </cell>
          <cell r="D24" t="str">
            <v>Equipements sanitaires dans le secteur public (partie 2)</v>
          </cell>
        </row>
        <row r="25">
          <cell r="B25" t="str">
            <v>التجهيزات الصحية بالقطاع الخاص (الجزء الأول)</v>
          </cell>
          <cell r="D25" t="str">
            <v>Equipements sanitaires dans le secteur privé (partie 1)</v>
          </cell>
        </row>
        <row r="26">
          <cell r="B26" t="str">
            <v>التجهيزات الصحية بالقطاع الخاص (الجزء الثاني)</v>
          </cell>
          <cell r="D26" t="str">
            <v>Equipements sanitaires dans le secteur privé (partie 2)</v>
          </cell>
        </row>
        <row r="27">
          <cell r="B27" t="str">
            <v>الإطار الطبي بالقطاع العام</v>
          </cell>
          <cell r="D27" t="str">
            <v>Le personnel médical dans le secteur public</v>
          </cell>
        </row>
        <row r="28">
          <cell r="B28" t="str">
            <v>الإطار شبه الطبي بالقطاع العام</v>
          </cell>
          <cell r="D28" t="str">
            <v>Le personnel paramédical dans le secteur public</v>
          </cell>
        </row>
        <row r="29">
          <cell r="B29" t="str">
            <v>الشباب والطفولة</v>
          </cell>
          <cell r="D29" t="str">
            <v>Jeunesse et enfance</v>
          </cell>
        </row>
        <row r="30">
          <cell r="B30" t="str">
            <v xml:space="preserve">الفضاءات الشبابية </v>
          </cell>
          <cell r="D30" t="str">
            <v xml:space="preserve">Espaces de la jeunesse </v>
          </cell>
        </row>
        <row r="31">
          <cell r="B31" t="str">
            <v xml:space="preserve">فضاءات الطفولة </v>
          </cell>
          <cell r="D31" t="str">
            <v xml:space="preserve">Espaces de l'enfance </v>
          </cell>
        </row>
        <row r="32">
          <cell r="B32" t="str">
            <v xml:space="preserve">الفضاءات الرياضية </v>
          </cell>
          <cell r="D32" t="str">
            <v xml:space="preserve">Espaces sportifs </v>
          </cell>
        </row>
        <row r="33">
          <cell r="B33" t="str">
            <v>الجمعيات الرياضية المدنية</v>
          </cell>
          <cell r="D33" t="str">
            <v>Associations sportives civiles</v>
          </cell>
        </row>
        <row r="34">
          <cell r="B34" t="str">
            <v>الثقافة</v>
          </cell>
          <cell r="D34" t="str">
            <v>Culture</v>
          </cell>
        </row>
        <row r="35">
          <cell r="B35" t="str">
            <v xml:space="preserve">الفضاءات الثقافية </v>
          </cell>
          <cell r="D35" t="str">
            <v xml:space="preserve">Espaces culturels </v>
          </cell>
        </row>
        <row r="36">
          <cell r="B36" t="str">
            <v>القطاعات المنتجة</v>
          </cell>
          <cell r="D36" t="str">
            <v>Les secteurs productifs</v>
          </cell>
        </row>
        <row r="37">
          <cell r="B37" t="str">
            <v>الفلاحة</v>
          </cell>
          <cell r="D37" t="str">
            <v>Agriculture</v>
          </cell>
        </row>
        <row r="38">
          <cell r="B38" t="str">
            <v>تطور مساحة الأراضي الفلاحية حسب المؤهلات</v>
          </cell>
          <cell r="D38" t="str">
            <v>Evolution de la superficie des Terres Agricoles selon la Vocation</v>
          </cell>
        </row>
        <row r="39">
          <cell r="B39" t="str">
            <v>تطورعدد المساحات السقوية الخاصة حسب المعتمدية</v>
          </cell>
          <cell r="D39" t="str">
            <v>Evolution des Périmètres Irrigués Privés selon la Délégation</v>
          </cell>
        </row>
        <row r="40">
          <cell r="B40" t="str">
            <v>تطور مؤشرات المساحات السقوية</v>
          </cell>
          <cell r="D40" t="str">
            <v>Evolution des indicateurs des périmètres irrigués</v>
          </cell>
        </row>
        <row r="41">
          <cell r="B41" t="str">
            <v>تطور الإنتاج النباتي حسب الصنف</v>
          </cell>
          <cell r="D41" t="str">
            <v>Evolution de la Production Végétale selon l'Espèce</v>
          </cell>
        </row>
        <row r="42">
          <cell r="B42" t="str">
            <v>تطور تربية الماشية حسب الصنف</v>
          </cell>
          <cell r="D42" t="str">
            <v>Evolution du Cheptel selon l'Espèce</v>
          </cell>
        </row>
        <row r="43">
          <cell r="B43" t="str">
            <v>الصيد البحري</v>
          </cell>
          <cell r="D43" t="str">
            <v>Pêche</v>
          </cell>
        </row>
        <row r="44">
          <cell r="B44" t="str">
            <v>تطور أسطول وانتاج الصيد البحري حسب الميناء</v>
          </cell>
          <cell r="D44" t="str">
            <v>Evolution de la flottille et de la production de la pêche selon le port</v>
          </cell>
        </row>
        <row r="45">
          <cell r="B45" t="str">
            <v>الطاقة</v>
          </cell>
          <cell r="D45" t="str">
            <v>Energie</v>
          </cell>
        </row>
        <row r="46">
          <cell r="B46" t="str">
            <v>استهلاك الطاقة الكهربائية (ضغط منخفض)</v>
          </cell>
          <cell r="D46" t="str">
            <v>Consommation d’énergie électrique (Basse tension)</v>
          </cell>
        </row>
        <row r="47">
          <cell r="B47" t="str">
            <v>استهلاك الطاقة الكهربائية (ضغط متوسط)</v>
          </cell>
          <cell r="D47" t="str">
            <v>Consommation d’énergie électrique (Moyenne tension)</v>
          </cell>
        </row>
        <row r="48">
          <cell r="B48" t="str">
            <v>استهلاك الماء الصالح للشرب حسب الاستعمال</v>
          </cell>
          <cell r="D48" t="str">
            <v>Consommation de l'eau potable selon l’usage</v>
          </cell>
        </row>
        <row r="49">
          <cell r="B49" t="str">
            <v>البيئة ونوعية الحياة</v>
          </cell>
          <cell r="D49" t="str">
            <v>Environnement et Qualité de la vie</v>
          </cell>
        </row>
        <row r="50">
          <cell r="B50" t="str">
            <v>مؤشرات بيئية</v>
          </cell>
          <cell r="D50" t="str">
            <v>Indicateurs d’environnement</v>
          </cell>
        </row>
        <row r="51">
          <cell r="B51" t="str">
            <v>تطور عدد المشتركين بشبكة التطهير</v>
          </cell>
          <cell r="D51" t="str">
            <v>Evolution du nombre d’abonnés au réseau d’assainissement</v>
          </cell>
        </row>
        <row r="52">
          <cell r="B52" t="str">
            <v>الصناعة والمناطق الصناعية</v>
          </cell>
          <cell r="D52" t="str">
            <v>Industrie et Zones Industrielles</v>
          </cell>
        </row>
        <row r="53">
          <cell r="B53" t="str">
            <v>توزيع المؤسسات الصناعية</v>
          </cell>
          <cell r="D53" t="str">
            <v>Répartition des entreprises industrielles</v>
          </cell>
        </row>
        <row r="54">
          <cell r="B54" t="str">
            <v>توزيع اليد العاملة الصناعية</v>
          </cell>
          <cell r="D54" t="str">
            <v>Répartition des employés industriels</v>
          </cell>
        </row>
        <row r="55">
          <cell r="B55" t="str">
            <v>معطيات حول المناطق الصناعية (المساحة والمقاسم)</v>
          </cell>
          <cell r="D55" t="str">
            <v>Zones Industrielles (Superficies + Lotissements)</v>
          </cell>
        </row>
        <row r="56">
          <cell r="B56" t="str">
            <v>المؤسسات بالمناطق الصناعية حسب الجنسية ونظام التصدير</v>
          </cell>
          <cell r="D56" t="str">
            <v>Répartition des entreprises selon la nationalité et le régime d'exportation</v>
          </cell>
        </row>
        <row r="57">
          <cell r="B57" t="str">
            <v>السياحة والصناعات التقليدية</v>
          </cell>
          <cell r="D57" t="str">
            <v>Tourisme et artisanat</v>
          </cell>
        </row>
        <row r="58">
          <cell r="B58" t="str">
            <v>تطور عدد الوحدات السياحية</v>
          </cell>
          <cell r="D58" t="str">
            <v>Evolution du nombre d'unités Hôtelières</v>
          </cell>
        </row>
        <row r="59">
          <cell r="B59" t="str">
            <v>تطور عدد الوافدين وعدد الليالي المقضاة</v>
          </cell>
          <cell r="D59" t="str">
            <v>Evolution du nombre des touristes et de nuitées globales</v>
          </cell>
        </row>
        <row r="60">
          <cell r="B60" t="str">
            <v>تطور مؤشرات الاستغلال والإقامة</v>
          </cell>
          <cell r="D60" t="str">
            <v>Evolution des indicateurs d'exploitation et de séjour</v>
          </cell>
        </row>
        <row r="61">
          <cell r="B61" t="str">
            <v xml:space="preserve">الصناعات التقليدية </v>
          </cell>
          <cell r="D61" t="str">
            <v xml:space="preserve">L'artisanat </v>
          </cell>
        </row>
        <row r="62">
          <cell r="B62" t="str">
            <v>النقل والطرقات</v>
          </cell>
          <cell r="D62" t="str">
            <v>Transport et réseau routier</v>
          </cell>
        </row>
        <row r="63">
          <cell r="B63" t="str">
            <v>تطور شبكــة الطرقـــــات</v>
          </cell>
          <cell r="D63" t="str">
            <v>Evolution du réseau routier</v>
          </cell>
        </row>
        <row r="64">
          <cell r="B64" t="str">
            <v xml:space="preserve">تطور شبكــة الطرقـــــات المرقمة </v>
          </cell>
          <cell r="D64" t="str">
            <v>Evolution du réseau routier classé</v>
          </cell>
        </row>
        <row r="65">
          <cell r="B65" t="str">
            <v>تطور النقل الحديدي حسب المحطة</v>
          </cell>
          <cell r="D65" t="str">
            <v>Evolution de transport ferroviaire selon la station</v>
          </cell>
        </row>
        <row r="66">
          <cell r="B66" t="str">
            <v xml:space="preserve">النقل الجوي : مطار تونس- قرطاج </v>
          </cell>
          <cell r="D66" t="str">
            <v>Transport aérien: l'aéroport de Tunis-Carthage</v>
          </cell>
        </row>
        <row r="67">
          <cell r="B67" t="str">
            <v>النقل البحري : ميناء حلق الوادي</v>
          </cell>
          <cell r="D67" t="str">
            <v>Transport maritime : Port Lagoulette</v>
          </cell>
        </row>
        <row r="68">
          <cell r="B68" t="str">
            <v>البريد والإتصالات</v>
          </cell>
          <cell r="D68" t="str">
            <v>Poste et Télécommunication</v>
          </cell>
        </row>
        <row r="69">
          <cell r="B69" t="str">
            <v>البريد (البنى التحتية)</v>
          </cell>
          <cell r="D69" t="str">
            <v>La poste (Infrastructure de base)</v>
          </cell>
        </row>
        <row r="70">
          <cell r="B70" t="str">
            <v>خدمات البريد(العمليات المالية)</v>
          </cell>
          <cell r="D70" t="str">
            <v>Service de la poste (Opérations financières)</v>
          </cell>
        </row>
        <row r="71">
          <cell r="B71" t="str">
            <v>الاتصالات (الشبكة و المشتركين)</v>
          </cell>
          <cell r="D71" t="str">
            <v xml:space="preserve">Télécommunication (Réseau et abonnés)) </v>
          </cell>
        </row>
        <row r="72">
          <cell r="B72" t="str">
            <v>التجارة والقطاع المصرفي</v>
          </cell>
          <cell r="D72" t="str">
            <v>Commerce et institutions financières</v>
          </cell>
        </row>
        <row r="73">
          <cell r="B73" t="str">
            <v>تطور عدد نقاط البيع حسب النشاط التجاري</v>
          </cell>
          <cell r="D73" t="str">
            <v>Evolution des Points de Vente selon l'Activité Commerciale</v>
          </cell>
        </row>
        <row r="74">
          <cell r="B74" t="str">
            <v xml:space="preserve">تطور عدد وكالات الجهاز المصرفي </v>
          </cell>
          <cell r="D74" t="str">
            <v xml:space="preserve">Evolution des Agences bancaires </v>
          </cell>
        </row>
        <row r="75">
          <cell r="B75" t="str">
            <v>تدخلات البنك التونسي للتضامن</v>
          </cell>
          <cell r="D75" t="str">
            <v xml:space="preserve">Activité de la Banque Tunisienne de solidarité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57"/>
  <sheetViews>
    <sheetView tabSelected="1" workbookViewId="0">
      <selection activeCell="B57" sqref="B57"/>
    </sheetView>
  </sheetViews>
  <sheetFormatPr baseColWidth="10" defaultRowHeight="14.4"/>
  <cols>
    <col min="2" max="2" width="25.88671875" customWidth="1"/>
    <col min="3" max="3" width="21.33203125" customWidth="1"/>
    <col min="4" max="4" width="28.6640625" customWidth="1"/>
    <col min="5" max="5" width="27.109375" customWidth="1"/>
    <col min="6" max="6" width="21.5546875" customWidth="1"/>
    <col min="7" max="7" width="26.109375" customWidth="1"/>
    <col min="8" max="8" width="26.33203125" customWidth="1"/>
    <col min="9" max="9" width="25.5546875" customWidth="1"/>
    <col min="10" max="10" width="27.33203125" customWidth="1"/>
    <col min="11" max="11" width="18.6640625" customWidth="1"/>
    <col min="12" max="12" width="16.5546875" customWidth="1"/>
  </cols>
  <sheetData>
    <row r="1" spans="1:12" ht="30" customHeight="1">
      <c r="A1" s="1" t="s">
        <v>48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2" t="s">
        <v>42</v>
      </c>
      <c r="I1" s="14" t="s">
        <v>43</v>
      </c>
      <c r="J1" s="14" t="s">
        <v>44</v>
      </c>
      <c r="K1" s="14" t="s">
        <v>45</v>
      </c>
      <c r="L1" s="14" t="s">
        <v>46</v>
      </c>
    </row>
    <row r="2" spans="1:12" ht="25.2" customHeight="1">
      <c r="A2" s="3">
        <v>2020</v>
      </c>
      <c r="B2" s="4" t="s">
        <v>61</v>
      </c>
      <c r="C2" s="4" t="s">
        <v>1</v>
      </c>
      <c r="D2" s="5">
        <v>15</v>
      </c>
      <c r="E2" s="5">
        <v>105</v>
      </c>
      <c r="F2" s="1">
        <f>SUM(D2:E2)</f>
        <v>120</v>
      </c>
      <c r="G2" s="1">
        <v>180</v>
      </c>
      <c r="H2" s="6">
        <f>SUM(F2:G2)</f>
        <v>300</v>
      </c>
      <c r="I2" s="7">
        <v>1</v>
      </c>
      <c r="J2" s="5">
        <v>0.62</v>
      </c>
      <c r="K2" s="8">
        <f>J2/I2</f>
        <v>0.62</v>
      </c>
      <c r="L2" s="9" t="s">
        <v>2</v>
      </c>
    </row>
    <row r="3" spans="1:12" ht="25.2" customHeight="1">
      <c r="A3" s="3">
        <v>2020</v>
      </c>
      <c r="B3" s="4" t="s">
        <v>62</v>
      </c>
      <c r="C3" s="4" t="s">
        <v>4</v>
      </c>
      <c r="D3" s="5">
        <v>153</v>
      </c>
      <c r="E3" s="5">
        <v>36</v>
      </c>
      <c r="F3" s="1">
        <f t="shared" ref="F3:F14" si="0">SUM(D3:E3)</f>
        <v>189</v>
      </c>
      <c r="G3" s="1">
        <v>375</v>
      </c>
      <c r="H3" s="6">
        <f t="shared" ref="H3:H14" si="1">SUM(F3:G3)</f>
        <v>564</v>
      </c>
      <c r="I3" s="7">
        <v>3.32</v>
      </c>
      <c r="J3" s="5">
        <v>2</v>
      </c>
      <c r="K3" s="8">
        <f t="shared" ref="K3:K14" si="2">J3/I3</f>
        <v>0.60240963855421692</v>
      </c>
      <c r="L3" s="9" t="s">
        <v>5</v>
      </c>
    </row>
    <row r="4" spans="1:12" ht="25.2" customHeight="1">
      <c r="A4" s="3">
        <v>2020</v>
      </c>
      <c r="B4" s="4" t="s">
        <v>63</v>
      </c>
      <c r="C4" s="4" t="s">
        <v>7</v>
      </c>
      <c r="D4" s="5">
        <v>929</v>
      </c>
      <c r="E4" s="5">
        <v>21</v>
      </c>
      <c r="F4" s="1">
        <f t="shared" si="0"/>
        <v>950</v>
      </c>
      <c r="G4" s="1">
        <v>640</v>
      </c>
      <c r="H4" s="6">
        <f t="shared" si="1"/>
        <v>1590</v>
      </c>
      <c r="I4" s="7">
        <v>8.44</v>
      </c>
      <c r="J4" s="5">
        <v>9.9</v>
      </c>
      <c r="K4" s="8">
        <f t="shared" si="2"/>
        <v>1.1729857819905214</v>
      </c>
      <c r="L4" s="9" t="s">
        <v>8</v>
      </c>
    </row>
    <row r="5" spans="1:12" ht="25.2" customHeight="1">
      <c r="A5" s="3">
        <v>2020</v>
      </c>
      <c r="B5" s="4" t="s">
        <v>64</v>
      </c>
      <c r="C5" s="4" t="s">
        <v>10</v>
      </c>
      <c r="D5" s="5">
        <v>1215</v>
      </c>
      <c r="E5" s="5">
        <v>15</v>
      </c>
      <c r="F5" s="1">
        <f t="shared" si="0"/>
        <v>1230</v>
      </c>
      <c r="G5" s="1">
        <v>260</v>
      </c>
      <c r="H5" s="6">
        <f t="shared" si="1"/>
        <v>1490</v>
      </c>
      <c r="I5" s="7">
        <v>7</v>
      </c>
      <c r="J5" s="5">
        <v>14</v>
      </c>
      <c r="K5" s="8">
        <f t="shared" si="2"/>
        <v>2</v>
      </c>
      <c r="L5" s="10" t="s">
        <v>11</v>
      </c>
    </row>
    <row r="6" spans="1:12" ht="25.2" customHeight="1">
      <c r="A6" s="3">
        <v>2020</v>
      </c>
      <c r="B6" s="4" t="s">
        <v>65</v>
      </c>
      <c r="C6" s="4" t="s">
        <v>13</v>
      </c>
      <c r="D6" s="5">
        <v>369</v>
      </c>
      <c r="E6" s="5">
        <v>4</v>
      </c>
      <c r="F6" s="1">
        <f t="shared" si="0"/>
        <v>373</v>
      </c>
      <c r="G6" s="1">
        <v>84</v>
      </c>
      <c r="H6" s="6">
        <f t="shared" si="1"/>
        <v>457</v>
      </c>
      <c r="I6" s="7">
        <v>3</v>
      </c>
      <c r="J6" s="5">
        <v>3</v>
      </c>
      <c r="K6" s="8">
        <f t="shared" si="2"/>
        <v>1</v>
      </c>
      <c r="L6" s="9" t="s">
        <v>2</v>
      </c>
    </row>
    <row r="7" spans="1:12" ht="25.2" customHeight="1">
      <c r="A7" s="3">
        <v>2020</v>
      </c>
      <c r="B7" s="4" t="s">
        <v>66</v>
      </c>
      <c r="C7" s="4" t="s">
        <v>15</v>
      </c>
      <c r="D7" s="5">
        <v>1210</v>
      </c>
      <c r="E7" s="5">
        <v>40</v>
      </c>
      <c r="F7" s="1">
        <f t="shared" si="0"/>
        <v>1250</v>
      </c>
      <c r="G7" s="1">
        <v>317</v>
      </c>
      <c r="H7" s="6">
        <f t="shared" si="1"/>
        <v>1567</v>
      </c>
      <c r="I7" s="7">
        <v>7.5</v>
      </c>
      <c r="J7" s="5">
        <v>13</v>
      </c>
      <c r="K7" s="8">
        <f t="shared" si="2"/>
        <v>1.7333333333333334</v>
      </c>
      <c r="L7" s="10" t="s">
        <v>16</v>
      </c>
    </row>
    <row r="8" spans="1:12" ht="25.2" customHeight="1">
      <c r="A8" s="3">
        <v>2020</v>
      </c>
      <c r="B8" s="4" t="s">
        <v>17</v>
      </c>
      <c r="C8" s="4" t="s">
        <v>18</v>
      </c>
      <c r="D8" s="5">
        <v>277</v>
      </c>
      <c r="E8" s="5">
        <v>80</v>
      </c>
      <c r="F8" s="1">
        <f t="shared" si="0"/>
        <v>357</v>
      </c>
      <c r="G8" s="1">
        <v>383</v>
      </c>
      <c r="H8" s="6">
        <f t="shared" si="1"/>
        <v>740</v>
      </c>
      <c r="I8" s="7">
        <v>2</v>
      </c>
      <c r="J8" s="5">
        <v>1.7</v>
      </c>
      <c r="K8" s="8">
        <f t="shared" si="2"/>
        <v>0.85</v>
      </c>
      <c r="L8" s="10" t="s">
        <v>19</v>
      </c>
    </row>
    <row r="9" spans="1:12" ht="25.2" customHeight="1">
      <c r="A9" s="3">
        <v>2020</v>
      </c>
      <c r="B9" s="4" t="s">
        <v>20</v>
      </c>
      <c r="C9" s="4" t="s">
        <v>18</v>
      </c>
      <c r="D9" s="5">
        <v>34</v>
      </c>
      <c r="E9" s="5">
        <v>18</v>
      </c>
      <c r="F9" s="1">
        <f t="shared" si="0"/>
        <v>52</v>
      </c>
      <c r="G9" s="1">
        <v>40</v>
      </c>
      <c r="H9" s="6">
        <f t="shared" si="1"/>
        <v>92</v>
      </c>
      <c r="I9" s="7">
        <v>1</v>
      </c>
      <c r="J9" s="5">
        <v>0.48</v>
      </c>
      <c r="K9" s="8">
        <f t="shared" si="2"/>
        <v>0.48</v>
      </c>
      <c r="L9" s="9" t="s">
        <v>21</v>
      </c>
    </row>
    <row r="10" spans="1:12" ht="25.2" customHeight="1">
      <c r="A10" s="3">
        <v>2020</v>
      </c>
      <c r="B10" s="4" t="s">
        <v>22</v>
      </c>
      <c r="C10" s="4" t="s">
        <v>1</v>
      </c>
      <c r="D10" s="7">
        <v>58</v>
      </c>
      <c r="E10" s="7">
        <v>198</v>
      </c>
      <c r="F10" s="1">
        <f t="shared" si="0"/>
        <v>256</v>
      </c>
      <c r="G10" s="1">
        <v>467</v>
      </c>
      <c r="H10" s="6">
        <f t="shared" si="1"/>
        <v>723</v>
      </c>
      <c r="I10" s="7">
        <v>2.9</v>
      </c>
      <c r="J10" s="5">
        <v>1.6</v>
      </c>
      <c r="K10" s="8">
        <f t="shared" si="2"/>
        <v>0.55172413793103448</v>
      </c>
      <c r="L10" s="10" t="s">
        <v>23</v>
      </c>
    </row>
    <row r="11" spans="1:12" ht="25.2" customHeight="1">
      <c r="A11" s="3">
        <v>2020</v>
      </c>
      <c r="B11" s="4" t="s">
        <v>24</v>
      </c>
      <c r="C11" s="4" t="s">
        <v>25</v>
      </c>
      <c r="D11" s="7">
        <v>183</v>
      </c>
      <c r="E11" s="7">
        <v>290</v>
      </c>
      <c r="F11" s="1">
        <f t="shared" si="0"/>
        <v>473</v>
      </c>
      <c r="G11" s="1">
        <v>267</v>
      </c>
      <c r="H11" s="6">
        <f t="shared" si="1"/>
        <v>740</v>
      </c>
      <c r="I11" s="7">
        <v>8</v>
      </c>
      <c r="J11" s="5">
        <v>6</v>
      </c>
      <c r="K11" s="8">
        <f t="shared" si="2"/>
        <v>0.75</v>
      </c>
      <c r="L11" s="10" t="s">
        <v>26</v>
      </c>
    </row>
    <row r="12" spans="1:12" ht="25.2" customHeight="1">
      <c r="A12" s="3">
        <v>2020</v>
      </c>
      <c r="B12" s="4" t="s">
        <v>27</v>
      </c>
      <c r="C12" s="4" t="s">
        <v>28</v>
      </c>
      <c r="D12" s="7">
        <v>40</v>
      </c>
      <c r="E12" s="7">
        <v>178</v>
      </c>
      <c r="F12" s="1">
        <f t="shared" si="0"/>
        <v>218</v>
      </c>
      <c r="G12" s="1">
        <v>111</v>
      </c>
      <c r="H12" s="6">
        <f t="shared" si="1"/>
        <v>329</v>
      </c>
      <c r="I12" s="7">
        <v>2</v>
      </c>
      <c r="J12" s="5">
        <v>1</v>
      </c>
      <c r="K12" s="8">
        <f t="shared" si="2"/>
        <v>0.5</v>
      </c>
      <c r="L12" s="10" t="s">
        <v>29</v>
      </c>
    </row>
    <row r="13" spans="1:12" ht="25.2" customHeight="1">
      <c r="A13" s="3">
        <v>2020</v>
      </c>
      <c r="B13" s="4" t="s">
        <v>30</v>
      </c>
      <c r="C13" s="4" t="s">
        <v>28</v>
      </c>
      <c r="D13" s="5">
        <v>16</v>
      </c>
      <c r="E13" s="5">
        <v>102</v>
      </c>
      <c r="F13" s="1">
        <f t="shared" si="0"/>
        <v>118</v>
      </c>
      <c r="G13" s="1">
        <v>116</v>
      </c>
      <c r="H13" s="6">
        <f t="shared" si="1"/>
        <v>234</v>
      </c>
      <c r="I13" s="7">
        <v>2.9</v>
      </c>
      <c r="J13" s="5">
        <v>0.9</v>
      </c>
      <c r="K13" s="8">
        <f t="shared" si="2"/>
        <v>0.31034482758620691</v>
      </c>
      <c r="L13" s="9" t="s">
        <v>2</v>
      </c>
    </row>
    <row r="14" spans="1:12" ht="25.2" customHeight="1">
      <c r="A14" s="3">
        <v>2020</v>
      </c>
      <c r="B14" s="4" t="s">
        <v>31</v>
      </c>
      <c r="C14" s="4" t="s">
        <v>32</v>
      </c>
      <c r="D14" s="5">
        <v>131</v>
      </c>
      <c r="E14" s="5">
        <v>159</v>
      </c>
      <c r="F14" s="1">
        <f t="shared" si="0"/>
        <v>290</v>
      </c>
      <c r="G14" s="1">
        <v>36</v>
      </c>
      <c r="H14" s="6">
        <f t="shared" si="1"/>
        <v>326</v>
      </c>
      <c r="I14" s="7">
        <v>3</v>
      </c>
      <c r="J14" s="5">
        <v>1.5</v>
      </c>
      <c r="K14" s="8">
        <f t="shared" si="2"/>
        <v>0.5</v>
      </c>
      <c r="L14" s="10" t="s">
        <v>33</v>
      </c>
    </row>
    <row r="15" spans="1:12" ht="25.2" customHeight="1">
      <c r="A15" s="3">
        <v>2020</v>
      </c>
      <c r="B15" s="15" t="s">
        <v>34</v>
      </c>
      <c r="C15" s="15"/>
      <c r="D15" s="1">
        <f t="shared" ref="D15:J15" si="3">SUM(D2:D14)</f>
        <v>4630</v>
      </c>
      <c r="E15" s="1">
        <f t="shared" si="3"/>
        <v>1246</v>
      </c>
      <c r="F15" s="1">
        <f t="shared" si="3"/>
        <v>5876</v>
      </c>
      <c r="G15" s="1">
        <f t="shared" si="3"/>
        <v>3276</v>
      </c>
      <c r="H15" s="1">
        <f t="shared" si="3"/>
        <v>9152</v>
      </c>
      <c r="I15" s="1">
        <f t="shared" si="3"/>
        <v>52.059999999999995</v>
      </c>
      <c r="J15" s="1">
        <f t="shared" si="3"/>
        <v>55.699999999999996</v>
      </c>
      <c r="K15" s="11">
        <f>J15/I15</f>
        <v>1.0699193238570881</v>
      </c>
      <c r="L15" s="12" t="s">
        <v>49</v>
      </c>
    </row>
    <row r="16" spans="1:12" ht="25.2" customHeight="1">
      <c r="A16" s="3">
        <v>2021</v>
      </c>
      <c r="B16" s="4" t="s">
        <v>0</v>
      </c>
      <c r="C16" s="4" t="s">
        <v>1</v>
      </c>
      <c r="D16" s="5">
        <v>15</v>
      </c>
      <c r="E16" s="5">
        <v>105</v>
      </c>
      <c r="F16" s="1">
        <v>120</v>
      </c>
      <c r="G16" s="1">
        <v>180</v>
      </c>
      <c r="H16" s="6">
        <v>300</v>
      </c>
      <c r="I16" s="7">
        <v>1</v>
      </c>
      <c r="J16" s="5" t="s">
        <v>50</v>
      </c>
      <c r="K16" s="8">
        <v>62</v>
      </c>
      <c r="L16" s="9" t="s">
        <v>2</v>
      </c>
    </row>
    <row r="17" spans="1:12" ht="25.2" customHeight="1">
      <c r="A17" s="3">
        <v>2021</v>
      </c>
      <c r="B17" s="4" t="s">
        <v>3</v>
      </c>
      <c r="C17" s="4" t="s">
        <v>4</v>
      </c>
      <c r="D17" s="5">
        <v>153</v>
      </c>
      <c r="E17" s="5">
        <v>36</v>
      </c>
      <c r="F17" s="1">
        <v>189</v>
      </c>
      <c r="G17" s="1">
        <v>375</v>
      </c>
      <c r="H17" s="6">
        <v>564</v>
      </c>
      <c r="I17" s="7">
        <v>3.32</v>
      </c>
      <c r="J17" s="5">
        <v>2</v>
      </c>
      <c r="K17" s="8" t="s">
        <v>51</v>
      </c>
      <c r="L17" s="9" t="s">
        <v>5</v>
      </c>
    </row>
    <row r="18" spans="1:12" ht="25.2" customHeight="1">
      <c r="A18" s="3">
        <v>2021</v>
      </c>
      <c r="B18" s="4" t="s">
        <v>6</v>
      </c>
      <c r="C18" s="4" t="s">
        <v>7</v>
      </c>
      <c r="D18" s="5">
        <v>929</v>
      </c>
      <c r="E18" s="5">
        <v>21</v>
      </c>
      <c r="F18" s="1">
        <v>950</v>
      </c>
      <c r="G18" s="1">
        <v>640</v>
      </c>
      <c r="H18" s="6">
        <v>1590</v>
      </c>
      <c r="I18" s="7">
        <v>8.44</v>
      </c>
      <c r="J18" s="5" t="s">
        <v>52</v>
      </c>
      <c r="K18" s="8" t="s">
        <v>53</v>
      </c>
      <c r="L18" s="9" t="s">
        <v>8</v>
      </c>
    </row>
    <row r="19" spans="1:12" ht="25.2" customHeight="1">
      <c r="A19" s="3">
        <v>2021</v>
      </c>
      <c r="B19" s="4" t="s">
        <v>9</v>
      </c>
      <c r="C19" s="4" t="s">
        <v>10</v>
      </c>
      <c r="D19" s="5">
        <v>1215</v>
      </c>
      <c r="E19" s="5">
        <v>15</v>
      </c>
      <c r="F19" s="1">
        <v>1230</v>
      </c>
      <c r="G19" s="1">
        <v>260</v>
      </c>
      <c r="H19" s="6">
        <v>1490</v>
      </c>
      <c r="I19" s="7">
        <v>7</v>
      </c>
      <c r="J19" s="5">
        <v>14</v>
      </c>
      <c r="K19" s="8">
        <v>200</v>
      </c>
      <c r="L19" s="10" t="s">
        <v>11</v>
      </c>
    </row>
    <row r="20" spans="1:12" ht="25.2" customHeight="1">
      <c r="A20" s="3">
        <v>2021</v>
      </c>
      <c r="B20" s="4" t="s">
        <v>12</v>
      </c>
      <c r="C20" s="4" t="s">
        <v>13</v>
      </c>
      <c r="D20" s="5">
        <v>369</v>
      </c>
      <c r="E20" s="5">
        <v>4</v>
      </c>
      <c r="F20" s="1">
        <v>373</v>
      </c>
      <c r="G20" s="1">
        <v>84</v>
      </c>
      <c r="H20" s="6">
        <v>457</v>
      </c>
      <c r="I20" s="7">
        <v>3</v>
      </c>
      <c r="J20" s="5">
        <v>3</v>
      </c>
      <c r="K20" s="8">
        <v>100</v>
      </c>
      <c r="L20" s="9" t="s">
        <v>2</v>
      </c>
    </row>
    <row r="21" spans="1:12" ht="25.2" customHeight="1">
      <c r="A21" s="3">
        <v>2021</v>
      </c>
      <c r="B21" s="4" t="s">
        <v>14</v>
      </c>
      <c r="C21" s="4" t="s">
        <v>15</v>
      </c>
      <c r="D21" s="5">
        <v>1210</v>
      </c>
      <c r="E21" s="5">
        <v>40</v>
      </c>
      <c r="F21" s="1">
        <v>1250</v>
      </c>
      <c r="G21" s="1">
        <v>317</v>
      </c>
      <c r="H21" s="6">
        <v>1567</v>
      </c>
      <c r="I21" s="7">
        <v>7.5</v>
      </c>
      <c r="J21" s="5">
        <v>13</v>
      </c>
      <c r="K21" s="8" t="s">
        <v>54</v>
      </c>
      <c r="L21" s="10" t="s">
        <v>16</v>
      </c>
    </row>
    <row r="22" spans="1:12" ht="25.2" customHeight="1">
      <c r="A22" s="3">
        <v>2021</v>
      </c>
      <c r="B22" s="4" t="s">
        <v>17</v>
      </c>
      <c r="C22" s="4" t="s">
        <v>18</v>
      </c>
      <c r="D22" s="5">
        <v>277</v>
      </c>
      <c r="E22" s="5">
        <v>80</v>
      </c>
      <c r="F22" s="1">
        <v>357</v>
      </c>
      <c r="G22" s="1">
        <v>383</v>
      </c>
      <c r="H22" s="6">
        <v>740</v>
      </c>
      <c r="I22" s="7">
        <v>2</v>
      </c>
      <c r="J22" s="5" t="s">
        <v>55</v>
      </c>
      <c r="K22" s="8">
        <v>85</v>
      </c>
      <c r="L22" s="10" t="s">
        <v>19</v>
      </c>
    </row>
    <row r="23" spans="1:12" ht="25.2" customHeight="1">
      <c r="A23" s="3">
        <v>2021</v>
      </c>
      <c r="B23" s="4" t="s">
        <v>20</v>
      </c>
      <c r="C23" s="4" t="s">
        <v>18</v>
      </c>
      <c r="D23" s="5">
        <v>34</v>
      </c>
      <c r="E23" s="5">
        <v>18</v>
      </c>
      <c r="F23" s="1">
        <v>52</v>
      </c>
      <c r="G23" s="1">
        <v>40</v>
      </c>
      <c r="H23" s="6">
        <v>92</v>
      </c>
      <c r="I23" s="7">
        <v>1</v>
      </c>
      <c r="J23" s="5" t="s">
        <v>56</v>
      </c>
      <c r="K23" s="8">
        <v>48</v>
      </c>
      <c r="L23" s="9" t="s">
        <v>21</v>
      </c>
    </row>
    <row r="24" spans="1:12" ht="25.2" customHeight="1">
      <c r="A24" s="3">
        <v>2021</v>
      </c>
      <c r="B24" s="4" t="s">
        <v>22</v>
      </c>
      <c r="C24" s="4" t="s">
        <v>1</v>
      </c>
      <c r="D24" s="7">
        <v>58</v>
      </c>
      <c r="E24" s="7">
        <v>198</v>
      </c>
      <c r="F24" s="1">
        <v>256</v>
      </c>
      <c r="G24" s="1">
        <v>467</v>
      </c>
      <c r="H24" s="6">
        <v>723</v>
      </c>
      <c r="I24" s="7">
        <v>2.9</v>
      </c>
      <c r="J24" s="5" t="s">
        <v>57</v>
      </c>
      <c r="K24" s="8" t="s">
        <v>58</v>
      </c>
      <c r="L24" s="10" t="s">
        <v>23</v>
      </c>
    </row>
    <row r="25" spans="1:12" ht="25.2" customHeight="1">
      <c r="A25" s="3">
        <v>2021</v>
      </c>
      <c r="B25" s="4" t="s">
        <v>24</v>
      </c>
      <c r="C25" s="4" t="s">
        <v>25</v>
      </c>
      <c r="D25" s="7">
        <v>183</v>
      </c>
      <c r="E25" s="7">
        <v>290</v>
      </c>
      <c r="F25" s="1">
        <v>479</v>
      </c>
      <c r="G25" s="1">
        <v>267</v>
      </c>
      <c r="H25" s="6">
        <v>746</v>
      </c>
      <c r="I25" s="7">
        <v>8</v>
      </c>
      <c r="J25" s="5">
        <v>6</v>
      </c>
      <c r="K25" s="8">
        <v>75</v>
      </c>
      <c r="L25" s="10" t="s">
        <v>26</v>
      </c>
    </row>
    <row r="26" spans="1:12" ht="25.2" customHeight="1">
      <c r="A26" s="3">
        <v>2021</v>
      </c>
      <c r="B26" s="4" t="s">
        <v>27</v>
      </c>
      <c r="C26" s="4" t="s">
        <v>28</v>
      </c>
      <c r="D26" s="7">
        <v>40</v>
      </c>
      <c r="E26" s="7">
        <v>178</v>
      </c>
      <c r="F26" s="1">
        <v>218</v>
      </c>
      <c r="G26" s="1">
        <v>111</v>
      </c>
      <c r="H26" s="6">
        <v>329</v>
      </c>
      <c r="I26" s="7">
        <v>2</v>
      </c>
      <c r="J26" s="5">
        <v>1</v>
      </c>
      <c r="K26" s="8">
        <v>50</v>
      </c>
      <c r="L26" s="10" t="s">
        <v>29</v>
      </c>
    </row>
    <row r="27" spans="1:12" ht="25.2" customHeight="1">
      <c r="A27" s="3">
        <v>2021</v>
      </c>
      <c r="B27" s="4" t="s">
        <v>30</v>
      </c>
      <c r="C27" s="4" t="s">
        <v>28</v>
      </c>
      <c r="D27" s="5">
        <v>16</v>
      </c>
      <c r="E27" s="5">
        <v>102</v>
      </c>
      <c r="F27" s="1">
        <v>118</v>
      </c>
      <c r="G27" s="1">
        <v>116</v>
      </c>
      <c r="H27" s="6">
        <v>234</v>
      </c>
      <c r="I27" s="7">
        <v>2.9</v>
      </c>
      <c r="J27" s="5" t="s">
        <v>59</v>
      </c>
      <c r="K27" s="8">
        <v>31</v>
      </c>
      <c r="L27" s="9" t="s">
        <v>2</v>
      </c>
    </row>
    <row r="28" spans="1:12" ht="25.2" customHeight="1">
      <c r="A28" s="3">
        <v>2021</v>
      </c>
      <c r="B28" s="4" t="s">
        <v>31</v>
      </c>
      <c r="C28" s="4" t="s">
        <v>32</v>
      </c>
      <c r="D28" s="5">
        <v>131</v>
      </c>
      <c r="E28" s="5">
        <v>159</v>
      </c>
      <c r="F28" s="1">
        <v>290</v>
      </c>
      <c r="G28" s="1">
        <v>36</v>
      </c>
      <c r="H28" s="6">
        <v>326</v>
      </c>
      <c r="I28" s="7">
        <v>3</v>
      </c>
      <c r="J28" s="5" t="s">
        <v>60</v>
      </c>
      <c r="K28" s="8">
        <v>50</v>
      </c>
      <c r="L28" s="10" t="s">
        <v>33</v>
      </c>
    </row>
    <row r="29" spans="1:12" ht="25.2" customHeight="1">
      <c r="A29" s="3">
        <v>2021</v>
      </c>
      <c r="B29" s="15" t="s">
        <v>34</v>
      </c>
      <c r="C29" s="15"/>
      <c r="D29" s="1">
        <v>4630</v>
      </c>
      <c r="E29" s="1">
        <v>1246</v>
      </c>
      <c r="F29" s="1">
        <v>5882</v>
      </c>
      <c r="G29" s="1">
        <v>3276</v>
      </c>
      <c r="H29" s="1">
        <v>9158</v>
      </c>
      <c r="I29" s="13">
        <v>52.059999999999995</v>
      </c>
      <c r="J29" s="1">
        <v>55.2</v>
      </c>
      <c r="K29" s="11">
        <v>1.0603150211294661</v>
      </c>
      <c r="L29" s="12" t="s">
        <v>49</v>
      </c>
    </row>
    <row r="30" spans="1:12" s="17" customFormat="1" ht="25.2" customHeight="1">
      <c r="A30" s="3">
        <v>2022</v>
      </c>
      <c r="B30" s="4" t="s">
        <v>0</v>
      </c>
      <c r="C30" s="4" t="s">
        <v>1</v>
      </c>
      <c r="D30" s="5">
        <v>15</v>
      </c>
      <c r="E30" s="5">
        <v>105</v>
      </c>
      <c r="F30" s="1">
        <v>120</v>
      </c>
      <c r="G30" s="1">
        <v>180</v>
      </c>
      <c r="H30" s="6">
        <v>300</v>
      </c>
      <c r="I30" s="7">
        <v>1</v>
      </c>
      <c r="J30" s="5">
        <v>0.62</v>
      </c>
      <c r="K30" s="8">
        <v>0.62</v>
      </c>
      <c r="L30" s="9" t="s">
        <v>2</v>
      </c>
    </row>
    <row r="31" spans="1:12" s="17" customFormat="1" ht="25.2" customHeight="1">
      <c r="A31" s="3">
        <v>2022</v>
      </c>
      <c r="B31" s="4" t="s">
        <v>3</v>
      </c>
      <c r="C31" s="4" t="s">
        <v>4</v>
      </c>
      <c r="D31" s="5">
        <v>153</v>
      </c>
      <c r="E31" s="5">
        <v>36</v>
      </c>
      <c r="F31" s="1">
        <v>189</v>
      </c>
      <c r="G31" s="1">
        <v>375</v>
      </c>
      <c r="H31" s="6">
        <v>564</v>
      </c>
      <c r="I31" s="7">
        <v>3.32</v>
      </c>
      <c r="J31" s="5">
        <v>2</v>
      </c>
      <c r="K31" s="8">
        <v>0.60240963855421692</v>
      </c>
      <c r="L31" s="9" t="s">
        <v>5</v>
      </c>
    </row>
    <row r="32" spans="1:12" s="17" customFormat="1" ht="25.2" customHeight="1">
      <c r="A32" s="3">
        <v>2022</v>
      </c>
      <c r="B32" s="4" t="s">
        <v>6</v>
      </c>
      <c r="C32" s="4" t="s">
        <v>7</v>
      </c>
      <c r="D32" s="5">
        <v>929</v>
      </c>
      <c r="E32" s="5">
        <v>21</v>
      </c>
      <c r="F32" s="1">
        <v>950</v>
      </c>
      <c r="G32" s="1">
        <v>640</v>
      </c>
      <c r="H32" s="6">
        <v>1590</v>
      </c>
      <c r="I32" s="7">
        <v>8.44</v>
      </c>
      <c r="J32" s="5">
        <v>9.9</v>
      </c>
      <c r="K32" s="8">
        <v>1.1729857819905214</v>
      </c>
      <c r="L32" s="9" t="s">
        <v>8</v>
      </c>
    </row>
    <row r="33" spans="1:12" s="17" customFormat="1" ht="25.2" customHeight="1">
      <c r="A33" s="3">
        <v>2022</v>
      </c>
      <c r="B33" s="4" t="s">
        <v>9</v>
      </c>
      <c r="C33" s="4" t="s">
        <v>10</v>
      </c>
      <c r="D33" s="5">
        <v>1215</v>
      </c>
      <c r="E33" s="5">
        <v>15</v>
      </c>
      <c r="F33" s="1">
        <v>1230</v>
      </c>
      <c r="G33" s="1">
        <v>260</v>
      </c>
      <c r="H33" s="6">
        <v>1490</v>
      </c>
      <c r="I33" s="7">
        <v>7</v>
      </c>
      <c r="J33" s="5">
        <v>14</v>
      </c>
      <c r="K33" s="8">
        <v>2</v>
      </c>
      <c r="L33" s="10" t="s">
        <v>11</v>
      </c>
    </row>
    <row r="34" spans="1:12" s="17" customFormat="1" ht="25.2" customHeight="1">
      <c r="A34" s="3">
        <v>2022</v>
      </c>
      <c r="B34" s="4" t="s">
        <v>12</v>
      </c>
      <c r="C34" s="4" t="s">
        <v>13</v>
      </c>
      <c r="D34" s="5">
        <v>369</v>
      </c>
      <c r="E34" s="5">
        <v>4</v>
      </c>
      <c r="F34" s="1">
        <v>373</v>
      </c>
      <c r="G34" s="1">
        <v>84</v>
      </c>
      <c r="H34" s="6">
        <v>457</v>
      </c>
      <c r="I34" s="7">
        <v>3</v>
      </c>
      <c r="J34" s="5">
        <v>3</v>
      </c>
      <c r="K34" s="8">
        <v>1</v>
      </c>
      <c r="L34" s="9" t="s">
        <v>2</v>
      </c>
    </row>
    <row r="35" spans="1:12" s="17" customFormat="1" ht="25.2" customHeight="1">
      <c r="A35" s="3">
        <v>2022</v>
      </c>
      <c r="B35" s="4" t="s">
        <v>14</v>
      </c>
      <c r="C35" s="4" t="s">
        <v>15</v>
      </c>
      <c r="D35" s="5">
        <v>1210</v>
      </c>
      <c r="E35" s="5">
        <v>40</v>
      </c>
      <c r="F35" s="1">
        <v>1250</v>
      </c>
      <c r="G35" s="1">
        <v>317</v>
      </c>
      <c r="H35" s="6">
        <v>1567</v>
      </c>
      <c r="I35" s="7">
        <v>7.5</v>
      </c>
      <c r="J35" s="5">
        <v>13</v>
      </c>
      <c r="K35" s="8">
        <v>1.7333333333333334</v>
      </c>
      <c r="L35" s="10" t="s">
        <v>16</v>
      </c>
    </row>
    <row r="36" spans="1:12" s="17" customFormat="1" ht="25.2" customHeight="1">
      <c r="A36" s="3">
        <v>2022</v>
      </c>
      <c r="B36" s="4" t="s">
        <v>17</v>
      </c>
      <c r="C36" s="4" t="s">
        <v>18</v>
      </c>
      <c r="D36" s="5">
        <v>277</v>
      </c>
      <c r="E36" s="5">
        <v>80</v>
      </c>
      <c r="F36" s="1">
        <v>357</v>
      </c>
      <c r="G36" s="1">
        <v>383</v>
      </c>
      <c r="H36" s="6">
        <v>740</v>
      </c>
      <c r="I36" s="7">
        <v>2</v>
      </c>
      <c r="J36" s="5">
        <v>1.7</v>
      </c>
      <c r="K36" s="8">
        <v>0.85</v>
      </c>
      <c r="L36" s="10" t="s">
        <v>19</v>
      </c>
    </row>
    <row r="37" spans="1:12" s="17" customFormat="1" ht="25.2" customHeight="1">
      <c r="A37" s="3">
        <v>2022</v>
      </c>
      <c r="B37" s="4" t="s">
        <v>20</v>
      </c>
      <c r="C37" s="4" t="s">
        <v>18</v>
      </c>
      <c r="D37" s="5">
        <v>34</v>
      </c>
      <c r="E37" s="5">
        <v>18</v>
      </c>
      <c r="F37" s="1">
        <v>52</v>
      </c>
      <c r="G37" s="1">
        <v>40</v>
      </c>
      <c r="H37" s="6">
        <v>92</v>
      </c>
      <c r="I37" s="7">
        <v>1</v>
      </c>
      <c r="J37" s="5">
        <v>0.48</v>
      </c>
      <c r="K37" s="8">
        <v>0.48</v>
      </c>
      <c r="L37" s="9" t="s">
        <v>21</v>
      </c>
    </row>
    <row r="38" spans="1:12" s="17" customFormat="1" ht="25.2" customHeight="1">
      <c r="A38" s="3">
        <v>2022</v>
      </c>
      <c r="B38" s="4" t="s">
        <v>22</v>
      </c>
      <c r="C38" s="4" t="s">
        <v>1</v>
      </c>
      <c r="D38" s="7">
        <v>58</v>
      </c>
      <c r="E38" s="7">
        <v>198</v>
      </c>
      <c r="F38" s="1">
        <v>256</v>
      </c>
      <c r="G38" s="1">
        <v>467</v>
      </c>
      <c r="H38" s="6">
        <v>723</v>
      </c>
      <c r="I38" s="7">
        <v>2.9</v>
      </c>
      <c r="J38" s="5">
        <v>1.6</v>
      </c>
      <c r="K38" s="8">
        <v>0.55172413793103448</v>
      </c>
      <c r="L38" s="10" t="s">
        <v>23</v>
      </c>
    </row>
    <row r="39" spans="1:12" s="17" customFormat="1" ht="25.2" customHeight="1">
      <c r="A39" s="3">
        <v>2022</v>
      </c>
      <c r="B39" s="4" t="s">
        <v>24</v>
      </c>
      <c r="C39" s="4" t="s">
        <v>25</v>
      </c>
      <c r="D39" s="7">
        <v>183</v>
      </c>
      <c r="E39" s="7">
        <v>290</v>
      </c>
      <c r="F39" s="1">
        <v>479</v>
      </c>
      <c r="G39" s="1">
        <v>267</v>
      </c>
      <c r="H39" s="6">
        <v>746</v>
      </c>
      <c r="I39" s="7">
        <v>8</v>
      </c>
      <c r="J39" s="5">
        <v>6</v>
      </c>
      <c r="K39" s="8">
        <v>0.75</v>
      </c>
      <c r="L39" s="10" t="s">
        <v>26</v>
      </c>
    </row>
    <row r="40" spans="1:12" s="17" customFormat="1" ht="25.2" customHeight="1">
      <c r="A40" s="3">
        <v>2022</v>
      </c>
      <c r="B40" s="4" t="s">
        <v>27</v>
      </c>
      <c r="C40" s="4" t="s">
        <v>28</v>
      </c>
      <c r="D40" s="7">
        <v>40</v>
      </c>
      <c r="E40" s="7">
        <v>178</v>
      </c>
      <c r="F40" s="1">
        <v>218</v>
      </c>
      <c r="G40" s="1">
        <v>111</v>
      </c>
      <c r="H40" s="6">
        <v>329</v>
      </c>
      <c r="I40" s="7">
        <v>2</v>
      </c>
      <c r="J40" s="5">
        <v>1</v>
      </c>
      <c r="K40" s="8">
        <v>0.5</v>
      </c>
      <c r="L40" s="10" t="s">
        <v>29</v>
      </c>
    </row>
    <row r="41" spans="1:12" s="17" customFormat="1" ht="25.2" customHeight="1">
      <c r="A41" s="3">
        <v>2022</v>
      </c>
      <c r="B41" s="4" t="s">
        <v>30</v>
      </c>
      <c r="C41" s="4" t="s">
        <v>28</v>
      </c>
      <c r="D41" s="5">
        <v>16</v>
      </c>
      <c r="E41" s="5">
        <v>102</v>
      </c>
      <c r="F41" s="1">
        <v>118</v>
      </c>
      <c r="G41" s="1">
        <v>116</v>
      </c>
      <c r="H41" s="6">
        <v>234</v>
      </c>
      <c r="I41" s="7">
        <v>2.9</v>
      </c>
      <c r="J41" s="5">
        <v>0.9</v>
      </c>
      <c r="K41" s="8">
        <v>0.31034482758620691</v>
      </c>
      <c r="L41" s="9" t="s">
        <v>2</v>
      </c>
    </row>
    <row r="42" spans="1:12" s="17" customFormat="1" ht="25.2" customHeight="1">
      <c r="A42" s="3">
        <v>2022</v>
      </c>
      <c r="B42" s="4" t="s">
        <v>31</v>
      </c>
      <c r="C42" s="4" t="s">
        <v>32</v>
      </c>
      <c r="D42" s="5">
        <v>131</v>
      </c>
      <c r="E42" s="5">
        <v>159</v>
      </c>
      <c r="F42" s="1">
        <v>290</v>
      </c>
      <c r="G42" s="1">
        <v>36</v>
      </c>
      <c r="H42" s="6">
        <v>326</v>
      </c>
      <c r="I42" s="7">
        <v>3</v>
      </c>
      <c r="J42" s="5">
        <v>1.5</v>
      </c>
      <c r="K42" s="8">
        <v>0.5</v>
      </c>
      <c r="L42" s="10" t="s">
        <v>33</v>
      </c>
    </row>
    <row r="43" spans="1:12" s="17" customFormat="1" ht="25.2" customHeight="1">
      <c r="A43" s="3">
        <v>2022</v>
      </c>
      <c r="B43" s="15" t="s">
        <v>34</v>
      </c>
      <c r="C43" s="15"/>
      <c r="D43" s="1">
        <v>4630</v>
      </c>
      <c r="E43" s="1">
        <v>1246</v>
      </c>
      <c r="F43" s="1">
        <v>5882</v>
      </c>
      <c r="G43" s="1">
        <v>3276</v>
      </c>
      <c r="H43" s="1">
        <v>9158</v>
      </c>
      <c r="I43" s="13">
        <v>52.059999999999995</v>
      </c>
      <c r="J43" s="13">
        <v>55.699999999999996</v>
      </c>
      <c r="K43" s="11">
        <v>1.0699193238570881</v>
      </c>
      <c r="L43" s="12" t="s">
        <v>35</v>
      </c>
    </row>
    <row r="44" spans="1:12" ht="25.2" customHeight="1">
      <c r="A44" s="3">
        <v>2023</v>
      </c>
      <c r="B44" s="4" t="s">
        <v>0</v>
      </c>
      <c r="C44" s="4" t="s">
        <v>1</v>
      </c>
      <c r="D44" s="5">
        <v>15</v>
      </c>
      <c r="E44" s="5">
        <v>105</v>
      </c>
      <c r="F44" s="1">
        <v>120</v>
      </c>
      <c r="G44" s="1">
        <v>180</v>
      </c>
      <c r="H44" s="6">
        <v>300</v>
      </c>
      <c r="I44" s="7">
        <v>1</v>
      </c>
      <c r="J44" s="5">
        <v>0.62</v>
      </c>
      <c r="K44" s="8">
        <f>J44/I44</f>
        <v>0.62</v>
      </c>
      <c r="L44" s="9" t="s">
        <v>2</v>
      </c>
    </row>
    <row r="45" spans="1:12" ht="25.2" customHeight="1">
      <c r="A45" s="3">
        <v>2023</v>
      </c>
      <c r="B45" s="4" t="s">
        <v>3</v>
      </c>
      <c r="C45" s="4" t="s">
        <v>4</v>
      </c>
      <c r="D45" s="5">
        <v>153</v>
      </c>
      <c r="E45" s="5">
        <v>36</v>
      </c>
      <c r="F45" s="1">
        <v>189</v>
      </c>
      <c r="G45" s="1">
        <v>375</v>
      </c>
      <c r="H45" s="6">
        <v>564</v>
      </c>
      <c r="I45" s="7">
        <v>3.32</v>
      </c>
      <c r="J45" s="5">
        <v>2</v>
      </c>
      <c r="K45" s="8">
        <f t="shared" ref="K45:K56" si="4">J45/I45</f>
        <v>0.60240963855421692</v>
      </c>
      <c r="L45" s="9" t="s">
        <v>5</v>
      </c>
    </row>
    <row r="46" spans="1:12" ht="25.2" customHeight="1">
      <c r="A46" s="3">
        <v>2023</v>
      </c>
      <c r="B46" s="4" t="s">
        <v>6</v>
      </c>
      <c r="C46" s="4" t="s">
        <v>7</v>
      </c>
      <c r="D46" s="5">
        <v>929</v>
      </c>
      <c r="E46" s="5">
        <v>21</v>
      </c>
      <c r="F46" s="1">
        <v>950</v>
      </c>
      <c r="G46" s="1">
        <v>640</v>
      </c>
      <c r="H46" s="6">
        <v>1590</v>
      </c>
      <c r="I46" s="7">
        <v>8.44</v>
      </c>
      <c r="J46" s="5">
        <v>9.9</v>
      </c>
      <c r="K46" s="8">
        <f t="shared" si="4"/>
        <v>1.1729857819905214</v>
      </c>
      <c r="L46" s="9" t="s">
        <v>8</v>
      </c>
    </row>
    <row r="47" spans="1:12" ht="25.2" customHeight="1">
      <c r="A47" s="3">
        <v>2023</v>
      </c>
      <c r="B47" s="4" t="s">
        <v>9</v>
      </c>
      <c r="C47" s="4" t="s">
        <v>10</v>
      </c>
      <c r="D47" s="5">
        <v>1215</v>
      </c>
      <c r="E47" s="5">
        <v>15</v>
      </c>
      <c r="F47" s="1">
        <v>1230</v>
      </c>
      <c r="G47" s="1">
        <v>260</v>
      </c>
      <c r="H47" s="6">
        <v>1490</v>
      </c>
      <c r="I47" s="7">
        <v>7</v>
      </c>
      <c r="J47" s="5">
        <v>14</v>
      </c>
      <c r="K47" s="8">
        <f t="shared" si="4"/>
        <v>2</v>
      </c>
      <c r="L47" s="10" t="s">
        <v>11</v>
      </c>
    </row>
    <row r="48" spans="1:12" ht="25.2" customHeight="1">
      <c r="A48" s="3">
        <v>2023</v>
      </c>
      <c r="B48" s="4" t="s">
        <v>12</v>
      </c>
      <c r="C48" s="4" t="s">
        <v>13</v>
      </c>
      <c r="D48" s="5">
        <v>369</v>
      </c>
      <c r="E48" s="5">
        <v>4</v>
      </c>
      <c r="F48" s="1">
        <v>373</v>
      </c>
      <c r="G48" s="1">
        <v>84</v>
      </c>
      <c r="H48" s="6">
        <v>457</v>
      </c>
      <c r="I48" s="7">
        <v>3</v>
      </c>
      <c r="J48" s="5">
        <v>3</v>
      </c>
      <c r="K48" s="8">
        <f t="shared" si="4"/>
        <v>1</v>
      </c>
      <c r="L48" s="9" t="s">
        <v>2</v>
      </c>
    </row>
    <row r="49" spans="1:12" ht="25.2" customHeight="1">
      <c r="A49" s="3">
        <v>2023</v>
      </c>
      <c r="B49" s="4" t="s">
        <v>14</v>
      </c>
      <c r="C49" s="4" t="s">
        <v>15</v>
      </c>
      <c r="D49" s="5">
        <v>1210</v>
      </c>
      <c r="E49" s="5">
        <v>40</v>
      </c>
      <c r="F49" s="1">
        <v>1250</v>
      </c>
      <c r="G49" s="1">
        <v>317</v>
      </c>
      <c r="H49" s="6">
        <v>1567</v>
      </c>
      <c r="I49" s="7">
        <v>7.5</v>
      </c>
      <c r="J49" s="5">
        <v>13</v>
      </c>
      <c r="K49" s="8">
        <f t="shared" si="4"/>
        <v>1.7333333333333334</v>
      </c>
      <c r="L49" s="10" t="s">
        <v>16</v>
      </c>
    </row>
    <row r="50" spans="1:12" ht="25.2" customHeight="1">
      <c r="A50" s="3">
        <v>2023</v>
      </c>
      <c r="B50" s="4" t="s">
        <v>17</v>
      </c>
      <c r="C50" s="4" t="s">
        <v>18</v>
      </c>
      <c r="D50" s="5">
        <v>277</v>
      </c>
      <c r="E50" s="5">
        <v>80</v>
      </c>
      <c r="F50" s="1">
        <v>357</v>
      </c>
      <c r="G50" s="1">
        <v>383</v>
      </c>
      <c r="H50" s="6">
        <v>740</v>
      </c>
      <c r="I50" s="7">
        <v>2</v>
      </c>
      <c r="J50" s="5">
        <v>1.7</v>
      </c>
      <c r="K50" s="8">
        <f t="shared" si="4"/>
        <v>0.85</v>
      </c>
      <c r="L50" s="10" t="s">
        <v>19</v>
      </c>
    </row>
    <row r="51" spans="1:12" ht="25.2" customHeight="1">
      <c r="A51" s="3">
        <v>2023</v>
      </c>
      <c r="B51" s="4" t="s">
        <v>20</v>
      </c>
      <c r="C51" s="4" t="s">
        <v>18</v>
      </c>
      <c r="D51" s="5">
        <v>34</v>
      </c>
      <c r="E51" s="5">
        <v>18</v>
      </c>
      <c r="F51" s="1">
        <v>52</v>
      </c>
      <c r="G51" s="1">
        <v>40</v>
      </c>
      <c r="H51" s="6">
        <v>92</v>
      </c>
      <c r="I51" s="7">
        <v>1</v>
      </c>
      <c r="J51" s="5">
        <v>0.48</v>
      </c>
      <c r="K51" s="8">
        <f t="shared" si="4"/>
        <v>0.48</v>
      </c>
      <c r="L51" s="9" t="s">
        <v>21</v>
      </c>
    </row>
    <row r="52" spans="1:12" ht="25.2" customHeight="1">
      <c r="A52" s="3">
        <v>2023</v>
      </c>
      <c r="B52" s="4" t="s">
        <v>22</v>
      </c>
      <c r="C52" s="4" t="s">
        <v>1</v>
      </c>
      <c r="D52" s="7">
        <v>58</v>
      </c>
      <c r="E52" s="7">
        <v>198</v>
      </c>
      <c r="F52" s="1">
        <v>256</v>
      </c>
      <c r="G52" s="1">
        <v>467</v>
      </c>
      <c r="H52" s="6">
        <v>723</v>
      </c>
      <c r="I52" s="7">
        <v>2.9</v>
      </c>
      <c r="J52" s="5">
        <v>1.6</v>
      </c>
      <c r="K52" s="8">
        <f t="shared" si="4"/>
        <v>0.55172413793103448</v>
      </c>
      <c r="L52" s="10" t="s">
        <v>23</v>
      </c>
    </row>
    <row r="53" spans="1:12" ht="25.2" customHeight="1">
      <c r="A53" s="3">
        <v>2023</v>
      </c>
      <c r="B53" s="4" t="s">
        <v>24</v>
      </c>
      <c r="C53" s="4" t="s">
        <v>25</v>
      </c>
      <c r="D53" s="7">
        <v>183</v>
      </c>
      <c r="E53" s="7">
        <v>290</v>
      </c>
      <c r="F53" s="1">
        <v>479</v>
      </c>
      <c r="G53" s="1">
        <v>267</v>
      </c>
      <c r="H53" s="6">
        <v>746</v>
      </c>
      <c r="I53" s="7">
        <v>8</v>
      </c>
      <c r="J53" s="5">
        <v>6</v>
      </c>
      <c r="K53" s="8">
        <f t="shared" si="4"/>
        <v>0.75</v>
      </c>
      <c r="L53" s="10" t="s">
        <v>26</v>
      </c>
    </row>
    <row r="54" spans="1:12" ht="25.2" customHeight="1">
      <c r="A54" s="3">
        <v>2023</v>
      </c>
      <c r="B54" s="4" t="s">
        <v>27</v>
      </c>
      <c r="C54" s="4" t="s">
        <v>28</v>
      </c>
      <c r="D54" s="7">
        <v>40</v>
      </c>
      <c r="E54" s="7">
        <v>178</v>
      </c>
      <c r="F54" s="1">
        <v>218</v>
      </c>
      <c r="G54" s="1">
        <v>111</v>
      </c>
      <c r="H54" s="6">
        <v>329</v>
      </c>
      <c r="I54" s="7">
        <v>2</v>
      </c>
      <c r="J54" s="5">
        <v>1</v>
      </c>
      <c r="K54" s="8">
        <f t="shared" si="4"/>
        <v>0.5</v>
      </c>
      <c r="L54" s="10" t="s">
        <v>29</v>
      </c>
    </row>
    <row r="55" spans="1:12" ht="25.2" customHeight="1">
      <c r="A55" s="3">
        <v>2023</v>
      </c>
      <c r="B55" s="4" t="s">
        <v>30</v>
      </c>
      <c r="C55" s="4" t="s">
        <v>28</v>
      </c>
      <c r="D55" s="5">
        <v>16</v>
      </c>
      <c r="E55" s="5">
        <v>102</v>
      </c>
      <c r="F55" s="1">
        <v>118</v>
      </c>
      <c r="G55" s="1">
        <v>116</v>
      </c>
      <c r="H55" s="6">
        <v>234</v>
      </c>
      <c r="I55" s="7">
        <v>2.9</v>
      </c>
      <c r="J55" s="5">
        <v>0.9</v>
      </c>
      <c r="K55" s="8">
        <f t="shared" si="4"/>
        <v>0.31034482758620691</v>
      </c>
      <c r="L55" s="9" t="s">
        <v>2</v>
      </c>
    </row>
    <row r="56" spans="1:12" ht="25.2" customHeight="1">
      <c r="A56" s="3">
        <v>2023</v>
      </c>
      <c r="B56" s="4" t="s">
        <v>31</v>
      </c>
      <c r="C56" s="4" t="s">
        <v>32</v>
      </c>
      <c r="D56" s="5">
        <v>131</v>
      </c>
      <c r="E56" s="5">
        <v>159</v>
      </c>
      <c r="F56" s="1">
        <v>290</v>
      </c>
      <c r="G56" s="1">
        <v>36</v>
      </c>
      <c r="H56" s="6">
        <v>326</v>
      </c>
      <c r="I56" s="7">
        <v>3</v>
      </c>
      <c r="J56" s="5">
        <v>1.5</v>
      </c>
      <c r="K56" s="8">
        <f t="shared" si="4"/>
        <v>0.5</v>
      </c>
      <c r="L56" s="10" t="s">
        <v>33</v>
      </c>
    </row>
    <row r="57" spans="1:12" ht="25.2" customHeight="1">
      <c r="A57" s="3">
        <v>2023</v>
      </c>
      <c r="B57" s="16" t="s">
        <v>34</v>
      </c>
      <c r="C57" s="14" t="s">
        <v>47</v>
      </c>
      <c r="D57" s="1">
        <f t="shared" ref="D57:J57" si="5">SUM(D44:D56)</f>
        <v>4630</v>
      </c>
      <c r="E57" s="1">
        <f t="shared" si="5"/>
        <v>1246</v>
      </c>
      <c r="F57" s="1">
        <f t="shared" si="5"/>
        <v>5882</v>
      </c>
      <c r="G57" s="1">
        <f t="shared" si="5"/>
        <v>3276</v>
      </c>
      <c r="H57" s="1">
        <f t="shared" si="5"/>
        <v>9158</v>
      </c>
      <c r="I57" s="13">
        <f t="shared" si="5"/>
        <v>52.059999999999995</v>
      </c>
      <c r="J57" s="13">
        <f t="shared" si="5"/>
        <v>55.699999999999996</v>
      </c>
      <c r="K57" s="11">
        <f>J57/I57</f>
        <v>1.0699193238570881</v>
      </c>
      <c r="L57" s="12" t="s">
        <v>35</v>
      </c>
    </row>
  </sheetData>
  <mergeCells count="3">
    <mergeCell ref="B43:C43"/>
    <mergeCell ref="B15:C15"/>
    <mergeCell ref="B29:C29"/>
  </mergeCells>
  <pageMargins left="0.31496062992125984" right="0.51181102362204722" top="0.74803149606299213" bottom="0.74803149606299213" header="0.31496062992125984" footer="0.31496062992125984"/>
  <pageSetup paperSize="9" scale="90" orientation="landscape" r:id="rId1"/>
  <headerFooter>
    <oddHeader>&amp;Rولاية  بنزرت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الموارد المائية الموائد السطحية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 4 onagri</cp:lastModifiedBy>
  <dcterms:created xsi:type="dcterms:W3CDTF">2022-05-30T15:01:07Z</dcterms:created>
  <dcterms:modified xsi:type="dcterms:W3CDTF">2025-05-24T14:14:13Z</dcterms:modified>
</cp:coreProperties>
</file>