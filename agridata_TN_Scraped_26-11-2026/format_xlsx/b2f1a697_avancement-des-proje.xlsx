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4" i="1"/>
  <c r="E17" i="1" s="1"/>
</calcChain>
</file>

<file path=xl/sharedStrings.xml><?xml version="1.0" encoding="utf-8"?>
<sst xmlns="http://schemas.openxmlformats.org/spreadsheetml/2006/main" count="71" uniqueCount="59">
  <si>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</si>
  <si>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</si>
  <si>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</si>
  <si>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</si>
  <si>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</si>
  <si>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</si>
  <si>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اشغال مد شبكة الري التكميلي بمنطقة سيدي بوبكر (الكدية)</t>
  </si>
  <si>
    <t>البرنامج الوطني</t>
  </si>
  <si>
    <t xml:space="preserve"> 50 هك</t>
  </si>
  <si>
    <t xml:space="preserve"> تقدم الإنجاز 100% (وفي انتظار الكهربة)</t>
  </si>
  <si>
    <t>2011</t>
  </si>
  <si>
    <t xml:space="preserve"> أشغال مد خط لكهربة 48 بئرا سطحية (31 بأم القصاب و17 بمزرق الشمس)</t>
  </si>
  <si>
    <t>المشروع الثاني للتنمية الفلاحية المندمجة</t>
  </si>
  <si>
    <t xml:space="preserve"> تقدم الإنجاز 100%</t>
  </si>
  <si>
    <t>دراسة تدعيم التنمية الفلاحية بالمنطقة الحدودية منها أم القصاب وأولاد الفبلي)</t>
  </si>
  <si>
    <t xml:space="preserve"> تقدم الإنجاز100% </t>
  </si>
  <si>
    <t xml:space="preserve">حفر البئر العميقة الإستكشافية ام القصاب </t>
  </si>
  <si>
    <t xml:space="preserve"> PISEAU 2</t>
  </si>
  <si>
    <t xml:space="preserve"> تقدم الإنجاز 100% (2،3 ل/ث و2،4غ/ل)</t>
  </si>
  <si>
    <t>2013</t>
  </si>
  <si>
    <t>حفر بئر العزايز 4 سيدي بوبكر</t>
  </si>
  <si>
    <t xml:space="preserve"> تقدم الإنجاز 100%(20 ل/ث)</t>
  </si>
  <si>
    <t>2016</t>
  </si>
  <si>
    <t>دراسة 11,2 كلم من المسالك الفلاحية بالشريط الحدودي</t>
  </si>
  <si>
    <t>مشروع التنمية الفلاحية المندمجة بالشريط الحدودي</t>
  </si>
  <si>
    <t xml:space="preserve"> تقدم الإنجاز 100% (إنتهت الدراسة)</t>
  </si>
  <si>
    <t xml:space="preserve">حفر بئر اولاد القبلي </t>
  </si>
  <si>
    <t>مشروع التنمية للشريط الحدودي</t>
  </si>
  <si>
    <t>وقع فسخ الصفقة و تمت اعادة طلب العروض ولم يشارك اي مقاول</t>
  </si>
  <si>
    <t>2018</t>
  </si>
  <si>
    <t>حفر بئر ام الاقصاب 2 (400م)</t>
  </si>
  <si>
    <t xml:space="preserve">بصدد اتمام الاجراءات التعاقدية للصفقة </t>
  </si>
  <si>
    <t xml:space="preserve"> مد شبكة الماء الصالح للشراب بالسراقية</t>
  </si>
  <si>
    <t>البرنامج الجهوي</t>
  </si>
  <si>
    <r>
      <t>نسبة تقدم الاشغال 90</t>
    </r>
    <r>
      <rPr>
        <sz val="11"/>
        <rFont val="Calibri"/>
        <family val="2"/>
      </rPr>
      <t>%</t>
    </r>
  </si>
  <si>
    <t>2017</t>
  </si>
  <si>
    <r>
      <t>أشغال تهيئة وتعبيد القسط الأول</t>
    </r>
    <r>
      <rPr>
        <sz val="12"/>
        <color theme="1"/>
        <rFont val="Times New Roman"/>
        <family val="1"/>
      </rPr>
      <t xml:space="preserve"> من المسالك ومراقبة الإنجاز : 11,2 كلم </t>
    </r>
    <r>
      <rPr>
        <sz val="10"/>
        <color theme="1"/>
        <rFont val="Times New Roman"/>
        <family val="1"/>
      </rPr>
      <t xml:space="preserve">(9,170 كلم </t>
    </r>
    <r>
      <rPr>
        <sz val="10"/>
        <color theme="1"/>
        <rFont val="AF_Hijaz"/>
      </rPr>
      <t xml:space="preserve">مسلك ريفي يربط بين منطقة القالب الأبيض وأم الأقصاب – </t>
    </r>
    <r>
      <rPr>
        <sz val="10"/>
        <color theme="1"/>
        <rFont val="Times New Roman"/>
        <family val="1"/>
      </rPr>
      <t>2,030</t>
    </r>
    <r>
      <rPr>
        <sz val="10"/>
        <color theme="1"/>
        <rFont val="AF_Hijaz"/>
      </rPr>
      <t xml:space="preserve"> كلم مسلك ريفي  يعرف بخط الركبة في إتجاه الحدود مع الجزائر)</t>
    </r>
  </si>
  <si>
    <t>11,2  كلم</t>
  </si>
  <si>
    <t>نسبة تقدم الاشغال 100%</t>
  </si>
  <si>
    <t>حفر بئر القالب الأبيض(350 م)</t>
  </si>
  <si>
    <t>نسبة تقدم الاشغال 100% (4,5ل/ث 1,6غ/ل)</t>
  </si>
  <si>
    <t>تجهيز وكهربة بئر العزايز 4 سيدي بوبكر</t>
  </si>
  <si>
    <t>البرنامج الجهوي (برنامج مقاومة الإرهاب)</t>
  </si>
  <si>
    <t>180</t>
  </si>
  <si>
    <r>
      <t>المحول الكهربائي الخاص بالبئر موجود و أما التجهيز GMP فهو بصدد طلب العروض - و الكهربة 100</t>
    </r>
    <r>
      <rPr>
        <sz val="11"/>
        <rFont val="Calibri"/>
        <family val="2"/>
      </rPr>
      <t>%</t>
    </r>
    <r>
      <rPr>
        <sz val="11"/>
        <rFont val="Calibri"/>
        <family val="2"/>
        <scheme val="minor"/>
      </rPr>
      <t xml:space="preserve"> </t>
    </r>
  </si>
  <si>
    <t>إحداث منطقة سقوية 40 هك للري التكميلي بالعزايز 4 سيدي بوبكر</t>
  </si>
  <si>
    <t xml:space="preserve">انطلفت الاشغال </t>
  </si>
  <si>
    <t>2019</t>
  </si>
  <si>
    <t xml:space="preserve">احداث البئر العميقة عقلة حمد (400م) </t>
  </si>
  <si>
    <t xml:space="preserve">مشروع التنمية للشريط الحدودي </t>
  </si>
  <si>
    <t>1</t>
  </si>
  <si>
    <t>500</t>
  </si>
  <si>
    <t xml:space="preserve">بصدد اعلان طلب العروض </t>
  </si>
  <si>
    <t xml:space="preserve">2019 </t>
  </si>
  <si>
    <t xml:space="preserve">اشغال المحافظة على المياه و التربة </t>
  </si>
  <si>
    <t>200هك</t>
  </si>
  <si>
    <t>400</t>
  </si>
  <si>
    <t>بصدد اعداد كراس الشروط</t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</si>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</sst>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theme="1"/>
      <name val="Arabic Transparent"/>
      <charset val="178"/>
    </font>
    <font>
      <sz val="12"/>
      <name val="Arial"/>
      <family val="2"/>
    </font>
    <font>
      <b/>
      <sz val="10"/>
      <name val="Times New Roman"/>
      <family val="1"/>
    </font>
    <font>
      <sz val="12"/>
      <color theme="1"/>
      <name val="Arabic Transparent"/>
      <charset val="178"/>
    </font>
    <font>
      <b/>
      <sz val="12"/>
      <color indexed="8"/>
      <name val="Times New Roman"/>
      <family val="1"/>
    </font>
    <font>
      <b/>
      <sz val="9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name val="Arial"/>
      <family val="2"/>
    </font>
    <font>
      <sz val="11"/>
      <name val="Calibri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F_Hijaz"/>
    </font>
    <font>
      <sz val="12"/>
      <name val="Calibri"/>
      <family val="2"/>
      <scheme val="minor"/>
    </font>
    <font>
      <b/>
      <sz val="15"/>
      <color theme="1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3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164" fontId="4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readingOrder="2"/>
    </xf>
    <xf numFmtId="3" fontId="8" fillId="0" borderId="1" xfId="1" applyNumberFormat="1" applyFont="1" applyFill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 readingOrder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sqref="A1:F17"/>
    </sheetView>
  </sheetViews>
  <sheetFormatPr baseColWidth="10" defaultColWidth="9.140625" defaultRowHeight="15"/>
  <cols>
    <col min="2" max="2" width="19.85546875" customWidth="1"/>
    <col min="6" max="6" width="26.7109375" customWidth="1"/>
  </cols>
  <sheetData>
    <row r="1" spans="1:6" ht="5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20">
      <c r="A2" s="4">
        <v>2011</v>
      </c>
      <c r="B2" s="5" t="s">
        <v>6</v>
      </c>
      <c r="C2" s="6" t="s">
        <v>7</v>
      </c>
      <c r="D2" s="7" t="s">
        <v>8</v>
      </c>
      <c r="E2" s="8">
        <v>269.32</v>
      </c>
      <c r="F2" s="9" t="s">
        <v>9</v>
      </c>
    </row>
    <row r="3" spans="1:6" ht="150">
      <c r="A3" s="10" t="s">
        <v>10</v>
      </c>
      <c r="B3" s="5" t="s">
        <v>11</v>
      </c>
      <c r="C3" s="11" t="s">
        <v>12</v>
      </c>
      <c r="D3" s="12">
        <v>1</v>
      </c>
      <c r="E3" s="13">
        <v>194</v>
      </c>
      <c r="F3" s="9" t="s">
        <v>13</v>
      </c>
    </row>
    <row r="4" spans="1:6" ht="150">
      <c r="A4" s="10" t="s">
        <v>10</v>
      </c>
      <c r="B4" s="5" t="s">
        <v>14</v>
      </c>
      <c r="C4" s="6" t="s">
        <v>7</v>
      </c>
      <c r="D4" s="12">
        <v>1</v>
      </c>
      <c r="E4" s="13">
        <f>77.8/3</f>
        <v>25.933333333333334</v>
      </c>
      <c r="F4" s="9" t="s">
        <v>15</v>
      </c>
    </row>
    <row r="5" spans="1:6" ht="105">
      <c r="A5" s="14">
        <v>2011</v>
      </c>
      <c r="B5" s="5" t="s">
        <v>16</v>
      </c>
      <c r="C5" s="6" t="s">
        <v>17</v>
      </c>
      <c r="D5" s="7">
        <v>1</v>
      </c>
      <c r="E5" s="13">
        <v>229.39</v>
      </c>
      <c r="F5" s="9" t="s">
        <v>18</v>
      </c>
    </row>
    <row r="6" spans="1:6" ht="60">
      <c r="A6" s="10" t="s">
        <v>19</v>
      </c>
      <c r="B6" s="5" t="s">
        <v>20</v>
      </c>
      <c r="C6" s="6" t="s">
        <v>7</v>
      </c>
      <c r="D6" s="12">
        <v>1</v>
      </c>
      <c r="E6" s="12">
        <v>291.36</v>
      </c>
      <c r="F6" s="9" t="s">
        <v>21</v>
      </c>
    </row>
    <row r="7" spans="1:6" ht="105">
      <c r="A7" s="10" t="s">
        <v>22</v>
      </c>
      <c r="B7" s="5" t="s">
        <v>23</v>
      </c>
      <c r="C7" s="6" t="s">
        <v>24</v>
      </c>
      <c r="D7" s="12">
        <v>1</v>
      </c>
      <c r="E7" s="12">
        <f>72/3</f>
        <v>24</v>
      </c>
      <c r="F7" s="9" t="s">
        <v>25</v>
      </c>
    </row>
    <row r="8" spans="1:6" ht="105">
      <c r="A8" s="10" t="s">
        <v>22</v>
      </c>
      <c r="B8" s="15" t="s">
        <v>26</v>
      </c>
      <c r="C8" s="6" t="s">
        <v>27</v>
      </c>
      <c r="D8" s="12">
        <v>1</v>
      </c>
      <c r="E8" s="12">
        <v>622</v>
      </c>
      <c r="F8" s="16" t="s">
        <v>28</v>
      </c>
    </row>
    <row r="9" spans="1:6" ht="75">
      <c r="A9" s="10" t="s">
        <v>29</v>
      </c>
      <c r="B9" s="15" t="s">
        <v>30</v>
      </c>
      <c r="C9" s="6" t="s">
        <v>27</v>
      </c>
      <c r="D9" s="12">
        <v>1</v>
      </c>
      <c r="E9" s="12">
        <v>383</v>
      </c>
      <c r="F9" s="16" t="s">
        <v>31</v>
      </c>
    </row>
    <row r="10" spans="1:6" ht="82.5">
      <c r="A10" s="10" t="s">
        <v>22</v>
      </c>
      <c r="B10" s="17" t="s">
        <v>32</v>
      </c>
      <c r="C10" s="5" t="s">
        <v>33</v>
      </c>
      <c r="D10" s="12">
        <v>1</v>
      </c>
      <c r="E10" s="12">
        <v>800</v>
      </c>
      <c r="F10" s="18" t="s">
        <v>34</v>
      </c>
    </row>
    <row r="11" spans="1:6" ht="304.5">
      <c r="A11" s="10" t="s">
        <v>35</v>
      </c>
      <c r="B11" s="5" t="s">
        <v>36</v>
      </c>
      <c r="C11" s="6" t="s">
        <v>24</v>
      </c>
      <c r="D11" s="12" t="s">
        <v>37</v>
      </c>
      <c r="E11" s="12">
        <v>1820</v>
      </c>
      <c r="F11" s="18" t="s">
        <v>38</v>
      </c>
    </row>
    <row r="12" spans="1:6" ht="75">
      <c r="A12" s="10" t="s">
        <v>35</v>
      </c>
      <c r="B12" s="15" t="s">
        <v>39</v>
      </c>
      <c r="C12" s="6" t="s">
        <v>27</v>
      </c>
      <c r="D12" s="12">
        <v>1</v>
      </c>
      <c r="E12" s="12">
        <v>406</v>
      </c>
      <c r="F12" s="19" t="s">
        <v>40</v>
      </c>
    </row>
    <row r="13" spans="1:6" ht="180">
      <c r="A13" s="10" t="s">
        <v>35</v>
      </c>
      <c r="B13" s="5" t="s">
        <v>41</v>
      </c>
      <c r="C13" s="5" t="s">
        <v>42</v>
      </c>
      <c r="D13" s="10">
        <v>1</v>
      </c>
      <c r="E13" s="10" t="s">
        <v>43</v>
      </c>
      <c r="F13" s="18" t="s">
        <v>44</v>
      </c>
    </row>
    <row r="14" spans="1:6" ht="135">
      <c r="A14" s="10">
        <v>2018</v>
      </c>
      <c r="B14" s="5" t="s">
        <v>45</v>
      </c>
      <c r="C14" s="6" t="s">
        <v>7</v>
      </c>
      <c r="D14" s="10">
        <v>1</v>
      </c>
      <c r="E14" s="10">
        <v>700</v>
      </c>
      <c r="F14" s="20" t="s">
        <v>46</v>
      </c>
    </row>
    <row r="15" spans="1:6" ht="75">
      <c r="A15" s="10" t="s">
        <v>47</v>
      </c>
      <c r="B15" s="5" t="s">
        <v>48</v>
      </c>
      <c r="C15" s="6" t="s">
        <v>49</v>
      </c>
      <c r="D15" s="10" t="s">
        <v>50</v>
      </c>
      <c r="E15" s="10" t="s">
        <v>51</v>
      </c>
      <c r="F15" s="20" t="s">
        <v>52</v>
      </c>
    </row>
    <row r="16" spans="1:6" ht="63">
      <c r="A16" s="10" t="s">
        <v>53</v>
      </c>
      <c r="B16" s="5" t="s">
        <v>54</v>
      </c>
      <c r="C16" s="6" t="s">
        <v>49</v>
      </c>
      <c r="D16" s="10" t="s">
        <v>55</v>
      </c>
      <c r="E16" s="10" t="s">
        <v>56</v>
      </c>
      <c r="F16" s="20" t="s">
        <v>57</v>
      </c>
    </row>
    <row r="17" spans="1:6" ht="19.5">
      <c r="A17" s="21" t="s">
        <v>58</v>
      </c>
      <c r="B17" s="21"/>
      <c r="C17" s="21"/>
      <c r="D17" s="22"/>
      <c r="E17" s="23">
        <f>SUM(E2:E14)</f>
        <v>5765.0033333333331</v>
      </c>
      <c r="F17" s="4"/>
    </row>
  </sheetData>
  <mergeCells count="1"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2023-05-18T10:53:27Z</dcterms:modified>
</cp:coreProperties>
</file>